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CC604806-0D5F-EA48-8E37-9B1159171DC0}" xr6:coauthVersionLast="47" xr6:coauthVersionMax="47" xr10:uidLastSave="{00000000-0000-0000-0000-000000000000}"/>
  <bookViews>
    <workbookView xWindow="0" yWindow="500" windowWidth="51200" windowHeight="21100" firstSheet="11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<sst xmlns="http://schemas.openxmlformats.org/spreadsheetml/2006/main" count="2657" uniqueCount="1104">
  <si>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</si>
  <si>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</si>
  <si>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</si>
  <si>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</si>
  <si>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</si>
  <si>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</si>
  <si>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</si>
  <si>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</si>
  <si>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</si>
  <si>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</si>
  <si>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</si>
  <si>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</si>
  <si>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</si>
  <si>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</si>
  <si>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</si>
  <si>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</si>
  <si>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</si>
  <si>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</si>
  <si>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</si>
  <si>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</si>
  <si>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</si>
  <si>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</si>
  <si>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</si>
  <si>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</si>
  <si>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</si>
  <si>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</si>
  <si>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</si>
  <si>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</si>
  <si>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</si>
  <si>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</si>
  <si>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</si>
  <si>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</si>
  <si>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</si>
  <si>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</si>
  <si>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</si>
  <si>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</si>
  <si>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</si>
  <si>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</si>
  <si>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</si>
  <si>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</si>
  <si>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</si>
  <si>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</si>
  <si>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</si>
  <si>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</si>
  <si>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</si>
  <si>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</si>
  <si>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</si>
  <si>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</si>
  <si>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</si>
  <si>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</si>
  <si>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</si>
  <si>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</si>
  <si>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</si>
  <si>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</si>
  <si>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</si>
  <si>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</si>
  <si>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</si>
  <si>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</si>
  <si>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</si>
  <si>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</si>
  <si>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</si>
  <si>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</si>
  <si>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</si>
  <si>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</si>
  <si>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</si>
  <si>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</si>
  <si>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</si>
  <si>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</si>
  <si>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</si>
  <si>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</si>
  <si>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</si>
  <si>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</si>
  <si>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</si>
  <si>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</si>
  <si>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</si>
  <si>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</si>
  <si>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</si>
  <si>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</si>
  <si>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</si>
  <si>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</si>
  <si>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</si>
  <si>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</si>
  <si>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</si>
  <si>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</si>
  <si>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</si>
  <si>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</si>
  <si>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</si>
  <si>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</si>
  <si>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</si>
  <si>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</si>
  <si>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</si>
  <si>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</si>
  <si>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</si>
  <si>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</si>
  <si>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</si>
  <si>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</si>
  <si>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</si>
  <si>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</si>
  <si>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</si>
  <si>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</si>
  <si>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</si>
  <si>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</si>
  <si>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</si>
  <si>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</si>
  <si>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</si>
  <si>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</si>
  <si>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</si>
  <si>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</si>
  <si>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</si>
  <si>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</si>
  <si>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</si>
  <si>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</si>
  <si>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</si>
  <si>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</si>
  <si>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</si>
  <si>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</si>
  <si>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</si>
  <si>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</si>
  <si>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</si>
  <si>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</si>
  <si>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</si>
  <si>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</si>
  <si>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</si>
  <si>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</si>
  <si>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</si>
  <si>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</si>
  <si>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</si>
  <si>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</si>
  <si>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</si>
  <si>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</si>
  <si>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</si>
  <si>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</si>
  <si>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</si>
  <si>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</si>
  <si>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</si>
  <si>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</si>
  <si>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</si>
  <si>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</si>
  <si>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</si>
  <si>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</si>
  <si>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</si>
  <si>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</si>
  <si>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</si>
  <si>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</si>
  <si>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</si>
  <si>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</si>
  <si>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</si>
  <si>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</si>
  <si>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</si>
  <si>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</si>
  <si>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</si>
  <si>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</si>
  <si>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</si>
  <si>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</si>
  <si>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</si>
  <si>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</si>
  <si>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</si>
  <si>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</si>
  <si>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</si>
  <si>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</si>
  <si>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</si>
  <si>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</si>
  <si>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</si>
  <si>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</si>
  <si>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</si>
  <si>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</si>
  <si>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</si>
  <si>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</si>
  <si>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</si>
  <si>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</si>
  <si>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</si>
  <si>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</si>
  <si>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</si>
  <si>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</si>
  <si>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</si>
  <si>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</si>
  <si>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</si>
  <si>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</si>
  <si>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</si>
  <si>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</si>
  <si>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</si>
  <si>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</si>
  <si>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</si>
  <si>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</si>
  <si>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</si>
  <si>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</si>
  <si>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</si>
  <si>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</si>
  <si>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</si>
  <si>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</si>
  <si>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</si>
  <si>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</si>
  <si>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</si>
  <si>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</si>
  <si>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</si>
  <si>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</si>
  <si>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</si>
  <si>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</si>
  <si>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</si>
  <si>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</si>
  <si>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</si>
  <si>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</si>
  <si>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</si>
  <si>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</si>
  <si>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</si>
  <si>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</si>
  <si>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</si>
  <si>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</si>
  <si>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</si>
  <si>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</si>
  <si>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</si>
  <si>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</si>
  <si>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</si>
  <si>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</si>
  <si>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</si>
  <si>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</si>
  <si>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</si>
  <si>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</si>
  <si>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</si>
  <si>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</si>
  <si>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</si>
  <si>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</si>
  <si>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</si>
  <si>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</si>
  <si>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</si>
  <si>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</si>
  <si>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</si>
  <si>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</si>
  <si>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</si>
  <si>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</si>
  <si>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</si>
  <si>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</si>
  <si>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</si>
  <si>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</si>
  <si>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</si>
  <si>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</si>
  <si>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</si>
  <si>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</si>
  <si>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</si>
  <si>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</si>
  <si>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</si>
  <si>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</si>
  <si>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</si>
  <si>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</si>
  <si>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</si>
  <si>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</si>
  <si>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</si>
  <si>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</si>
  <si>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</si>
  <si>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</si>
  <si>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</si>
  <si>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</si>
  <si>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</si>
  <si>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</si>
  <si>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</si>
  <si>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</si>
  <si>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</si>
  <si>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</si>
  <si>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</si>
  <si>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</si>
  <si>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</si>
  <si>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</si>
  <si>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</si>
  <si>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</si>
  <si>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</si>
  <si>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</si>
  <si>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</si>
  <si>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</si>
  <si>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</si>
  <si>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</si>
  <si>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</si>
  <si>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</si>
  <si>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</si>
  <si>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</si>
  <si>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</si>
  <si>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</si>
  <si>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</si>
  <si>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</si>
  <si>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</si>
  <si>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</si>
  <si>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</si>
  <si>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</si>
  <si>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</si>
  <si>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</si>
  <si>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</si>
  <si>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</si>
  <si>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</si>
  <si>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</si>
  <si>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</si>
  <si>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</si>
  <si>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</si>
  <si>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</si>
  <si>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</si>
  <si>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</si>
  <si>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</si>
  <si>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</si>
  <si>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</si>
  <si>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</si>
  <si>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</si>
  <si>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</si>
  <si>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</si>
  <si>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</si>
  <si>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</si>
  <si>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</si>
  <si>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</si>
  <si>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</si>
  <si>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</si>
  <si>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</si>
  <si>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</si>
  <si>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</si>
  <si>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</si>
  <si>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</si>
  <si>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</si>
  <si>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</si>
  <si>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</si>
  <si>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</si>
  <si>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</si>
  <si>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</si>
  <si>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</si>
  <si>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</si>
  <si>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</si>
  <si>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</si>
  <si>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</si>
  <si>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</si>
  <si>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</si>
  <si>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</si>
  <si>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</si>
  <si>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</si>
  <si>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</si>
  <si>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</si>
  <si>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</si>
  <si>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</si>
  <si>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</si>
  <si>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</si>
  <si>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</si>
  <si>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</si>
  <si>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</si>
  <si>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</si>
  <si>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</si>
  <si>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</si>
  <si>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</si>
  <si>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</si>
  <si>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</si>
  <si>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</si>
  <si>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</si>
  <si>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</si>
  <si>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</si>
  <si>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</si>
  <si>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</si>
  <si>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</si>
  <si>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</si>
  <si>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</si>
  <si>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</si>
  <si>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</si>
  <si>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</si>
  <si>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</si>
  <si>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</si>
  <si>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</si>
  <si>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</si>
  <si>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</si>
  <si>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</si>
  <si>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</si>
  <si>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</si>
  <si>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</si>
  <si>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</si>
  <si>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</si>
  <si>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</si>
  <si>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</si>
  <si>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</si>
  <si>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</si>
  <si>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</si>
  <si>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</si>
  <si>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</si>
  <si>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</si>
  <si>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</si>
  <si>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</si>
  <si>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</si>
  <si>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</si>
  <si>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</si>
  <si>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</si>
  <si>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</si>
  <si>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</si>
  <si>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</si>
  <si>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</si>
  <si>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</si>
  <si>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</si>
  <si>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</si>
  <si>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</si>
  <si>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</si>
  <si>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</si>
  <si>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</si>
  <si>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</si>
  <si>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</si>
  <si>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</si>
  <si>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</si>
  <si>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</si>
  <si>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</si>
  <si>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</si>
  <si>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</si>
  <si>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</si>
  <si>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</si>
  <si>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</si>
  <si>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</si>
  <si>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</si>
  <si>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</si>
  <si>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</si>
  <si>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</si>
  <si>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</si>
  <si>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</si>
  <si>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</si>
  <si>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</si>
  <si>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</si>
  <si>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</si>
  <si>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</si>
  <si>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</si>
  <si>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</si>
  <si>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</si>
  <si>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</si>
  <si>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</si>
  <si>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</si>
  <si>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</si>
  <si>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</si>
  <si>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</si>
  <si>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</si>
  <si>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</si>
  <si>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</si>
  <si>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</si>
  <si>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</si>
  <si>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</si>
  <si>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</si>
  <si>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</si>
  <si>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</si>
  <si>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</si>
  <si>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</si>
  <si>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</si>
  <si>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</si>
  <si>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</si>
  <si>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</si>
  <si>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</si>
  <si>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</si>
  <si>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</si>
  <si>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</si>
  <si>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</si>
  <si>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</si>
  <si>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</si>
  <si>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</si>
  <si>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</si>
  <si>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</si>
  <si>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</si>
  <si>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</si>
  <si>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</si>
  <si>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</si>
  <si>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</si>
  <si>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</si>
  <si>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</si>
  <si>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</si>
  <si>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</si>
  <si>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</si>
  <si>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</si>
  <si>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</si>
  <si>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</si>
  <si>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</si>
  <si>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</si>
  <si>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</si>
  <si>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</si>
  <si>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</si>
  <si>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</si>
  <si>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</si>
  <si>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</si>
  <si>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</si>
  <si>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</si>
  <si>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</si>
  <si>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</si>
  <si>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</si>
  <si>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</si>
  <si>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</si>
  <si>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</si>
  <si>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</si>
  <si>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</si>
  <si>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</si>
  <si>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</si>
  <si>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</si>
  <si>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</si>
  <si>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</si>
  <si>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</si>
  <si>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</si>
  <si>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</si>
  <si>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</si>
  <si>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</si>
  <si>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</si>
  <si>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</si>
  <si>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</si>
  <si>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</si>
  <si>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</si>
  <si>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</si>
  <si>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</si>
  <si>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</si>
  <si>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</si>
  <si>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</si>
  <si>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</si>
  <si>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</si>
  <si>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</si>
  <si>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</si>
  <si>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</si>
  <si>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</si>
  <si>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</si>
  <si>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</si>
  <si>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</si>
  <si>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</si>
  <si>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</si>
  <si>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</si>
  <si>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</si>
  <si>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</si>
  <si>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</si>
  <si>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</si>
  <si>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</si>
  <si>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</si>
  <si>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</si>
  <si>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</si>
  <si>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</si>
  <si>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</si>
  <si>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</si>
  <si>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</si>
  <si>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</si>
  <si>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</si>
  <si>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</si>
  <si>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</si>
  <si>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</si>
  <si>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</si>
  <si>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</si>
  <si>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</si>
  <si>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</si>
  <si>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</si>
  <si>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</si>
  <si>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</si>
  <si>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</si>
  <si>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</si>
  <si>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</si>
  <si>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</si>
  <si>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</si>
  <si>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</si>
  <si>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</si>
  <si>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</si>
  <si>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</si>
  <si>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</si>
  <si>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</si>
  <si>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</si>
  <si>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</si>
  <si>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</si>
  <si>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</si>
  <si>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</si>
  <si>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</si>
  <si>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</si>
  <si>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</si>
  <si>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</si>
  <si>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</si>
  <si>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</si>
  <si>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</si>
  <si>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</si>
  <si>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</si>
  <si>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</si>
  <si>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</si>
  <si>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</si>
  <si>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</si>
  <si>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</si>
  <si>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</si>
  <si>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</si>
  <si>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</si>
  <si>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</si>
  <si>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</si>
  <si>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</si>
  <si>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</si>
  <si>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</si>
  <si>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</si>
  <si>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</si>
  <si>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</si>
  <si>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</si>
  <si>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</si>
  <si>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</si>
  <si>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</si>
  <si>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</si>
  <si>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</si>
  <si>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</si>
  <si>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</si>
  <si>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</si>
  <si>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</si>
  <si>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</si>
  <si>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</si>
  <si>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</si>
  <si>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</si>
  <si>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</si>
  <si>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</si>
  <si>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</si>
  <si>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</si>
  <si>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</si>
  <si>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</si>
  <si>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</si>
  <si>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</si>
  <si>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</si>
  <si>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</si>
  <si>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</si>
  <si>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</si>
  <si>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</si>
  <si>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</si>
  <si>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</si>
  <si>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</si>
  <si>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</si>
  <si>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</si>
  <si>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</si>
  <si>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</si>
  <si>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</si>
  <si>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</si>
  <si>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</si>
  <si>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</si>
  <si>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</si>
  <si>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</si>
  <si>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</si>
  <si>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</si>
  <si>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</si>
  <si>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</si>
  <si>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</si>
  <si>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</si>
  <si>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</si>
  <si>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</si>
  <si>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</si>
  <si>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</si>
  <si>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</si>
  <si>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</si>
  <si>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</si>
  <si>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</si>
  <si>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</si>
  <si>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</si>
  <si>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</si>
  <si>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</si>
  <si>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</si>
  <si>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</si>
  <si>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</si>
  <si>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</si>
  <si>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</si>
  <si>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</si>
  <si>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</si>
  <si>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</si>
  <si>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</si>
  <si>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</si>
  <si>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</si>
  <si>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</si>
  <si>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</si>
  <si>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</si>
  <si>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</si>
  <si>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</si>
  <si>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</si>
  <si>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</si>
  <si>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</si>
  <si>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</si>
  <si>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</si>
  <si>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</si>
  <si>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</si>
  <si>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</si>
  <si>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</si>
  <si>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</si>
  <si>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</si>
  <si>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</si>
  <si>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</si>
  <si>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</si>
  <si>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</si>
  <si>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</si>
  <si>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</si>
  <si>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</si>
  <si>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</si>
  <si>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</si>
  <si>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</si>
  <si>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</si>
  <si>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</si>
  <si>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</si>
  <si>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</si>
  <si>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</si>
  <si>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</si>
  <si>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</si>
  <si>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</si>
  <si>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</si>
  <si>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</si>
  <si>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</si>
  <si>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</si>
  <si>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</si>
  <si>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</si>
  <si>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</si>
  <si>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</si>
  <si>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</si>
  <si>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</si>
  <si>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</si>
  <si>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</si>
  <si>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</si>
  <si>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</si>
  <si>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</si>
  <si>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</si>
  <si>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</si>
  <si>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</si>
  <si>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</si>
  <si>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</si>
  <si>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</si>
  <si>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</si>
  <si>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</si>
  <si>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</si>
  <si>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</si>
  <si>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</si>
  <si>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</si>
  <si>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</si>
  <si>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</si>
  <si>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</si>
  <si>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</si>
  <si>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</si>
  <si>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</si>
  <si>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</si>
  <si>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</si>
  <si>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</si>
  <si>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</si>
  <si>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</si>
  <si>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</si>
  <si>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</si>
  <si>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</si>
  <si>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</si>
  <si>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</si>
  <si>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</si>
  <si>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</si>
  <si>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</si>
  <si>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</si>
  <si>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</si>
  <si>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</si>
  <si>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</si>
  <si>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</si>
  <si>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</si>
  <si>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</si>
  <si>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</si>
  <si>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</si>
  <si>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</si>
  <si>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</si>
  <si>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</si>
  <si>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</si>
  <si>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</si>
  <si>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</si>
  <si>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</si>
  <si>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</si>
  <si>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</si>
  <si>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</si>
  <si>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</si>
  <si>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</si>
  <si>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</si>
  <si>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</si>
  <si>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</si>
  <si>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</si>
  <si>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</si>
  <si>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</si>
  <si>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</si>
  <si>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</si>
  <si>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</si>
  <si>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</si>
  <si>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</si>
  <si>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</si>
  <si>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</si>
  <si>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</si>
  <si>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</si>
  <si>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</si>
  <si>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</si>
  <si>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</si>
  <si>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</si>
  <si>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</si>
  <si>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</si>
  <si>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</si>
  <si>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</si>
  <si>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</si>
  <si>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</si>
  <si>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</si>
  <si>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</si>
  <si>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</si>
  <si>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</si>
  <si>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</si>
  <si>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</si>
  <si>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</si>
  <si>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</si>
  <si>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</si>
  <si>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</si>
  <si>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</si>
  <si>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</si>
  <si>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</si>
  <si>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</si>
  <si>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</si>
  <si>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</si>
  <si>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</si>
  <si>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</si>
  <si>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</si>
  <si>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</si>
  <si>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</si>
  <si>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</si>
  <si>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</si>
  <si>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</si>
  <si>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</si>
  <si>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</si>
  <si>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</si>
  <si>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</si>
  <si>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</si>
  <si>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</si>
  <si>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</si>
  <si>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</si>
  <si>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</si>
  <si>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</si>
  <si>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</si>
  <si>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</si>
  <si>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</si>
  <si>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</si>
  <si>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</si>
  <si>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</si>
  <si>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</si>
  <si>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</si>
  <si>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</si>
  <si>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</si>
  <si>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</si>
  <si>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</si>
  <si>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</si>
  <si>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</si>
  <si>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</si>
  <si>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</si>
  <si>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</si>
  <si>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</si>
  <si>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</si>
  <si>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</si>
  <si>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</si>
  <si>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</si>
  <si>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</si>
  <si>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</si>
  <si>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</si>
  <si>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</si>
  <si>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</si>
  <si>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</si>
  <si>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</si>
  <si>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</si>
  <si>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</si>
  <si>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</si>
  <si>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</si>
  <si>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</si>
  <si>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</si>
  <si>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</si>
  <si>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</si>
  <si>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</si>
  <si>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</si>
  <si>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</si>
  <si>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</si>
  <si>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</si>
  <si>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</si>
  <si>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</si>
  <si>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</si>
  <si>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</si>
  <si>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</si>
  <si>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</si>
  <si>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</si>
  <si>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</si>
  <si>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</si>
  <si>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</si>
  <si>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</si>
  <si>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</si>
  <si>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</si>
  <si>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</si>
  <si>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</si>
  <si>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</si>
  <si>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</si>
  <si>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</si>
  <si>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</si>
  <si>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</si>
  <si>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</si>
  <si>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</si>
  <si>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</si>
  <si>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</si>
  <si>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</si>
  <si>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</si>
  <si>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</si>
  <si>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</si>
  <si>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</si>
  <si>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</si>
  <si>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</si>
  <si>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</si>
  <si>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</si>
  <si>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</si>
  <si>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</si>
  <si>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</si>
  <si>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</si>
  <si>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</si>
  <si>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</si>
  <si>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</si>
  <si>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</si>
  <si>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</si>
  <si>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</si>
  <si>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</si>
  <si>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</si>
  <si>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</si>
  <si>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</si>
  <si>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</si>
  <si>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</si>
  <si>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</si>
  <si>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</si>
  <si>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</si>
  <si>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</si>
  <si>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</si>
  <si>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</si>
  <si>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</si>
  <si>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</si>
  <si>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</si>
  <si>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</si>
  <si>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</si>
  <si>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</si>
  <si>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</si>
  <si>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</si>
  <si>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</si>
  <si>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</si>
  <si>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</si>
  <si>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</si>
  <si>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</si>
  <si>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</si>
  <si>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</si>
  <si>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</si>
  <si>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</si>
  <si>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</si>
  <si>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</si>
  <si>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</si>
  <si>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</si>
  <si>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</si>
  <si>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</si>
  <si>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</si>
  <si>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</si>
  <si>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</si>
  <si>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</si>
  <si>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</si>
  <si>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</si>
  <si>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</si>
  <si>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</si>
  <si>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</si>
  <si>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</si>
  <si>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</si>
  <si>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</si>
  <si>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</si>
  <si>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</si>
  <si>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</si>
  <si>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</si>
  <si>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</si>
  <si>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</si>
  <si>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</si>
  <si>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</si>
  <si>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</si>
  <si>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</si>
  <si>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</si>
  <si>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</si>
  <si>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</si>
  <si>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</si>
  <si>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</si>
  <si>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</si>
  <si>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</si>
  <si>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</si>
  <si>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</si>
  <si>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</si>
  <si>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</si>
  <si>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</si>
  <si>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</si>
  <si>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</si>
  <si>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</si>
  <si>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</si>
  <si>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</si>
  <si>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</si>
  <si>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</si>
  <si>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</si>
  <si>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</si>
  <si>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</si>
  <si>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</si>
  <si>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</si>
  <si>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</si>
  <si>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</si>
  <si>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</si>
  <si>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</si>
  <si>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</si>
  <si>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</si>
  <si>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</si>
  <si>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</si>
  <si>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</si>
  <si>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</si>
  <si>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</si>
  <si>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</si>
  <si>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</si>
  <si>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</si>
  <si>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</si>
  <si>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</si>
  <si>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</si>
  <si>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</si>
  <si>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</si>
  <si>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</si>
  <si>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</si>
  <si>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</si>
  <si>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</si>
  <si>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</si>
  <si>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</si>
  <si>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</si>
  <si>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</si>
  <si>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</si>
  <si>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</si>
  <si>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</si>
  <si>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</si>
  <si>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</si>
  <si>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</si>
  <si>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</si>
  <si>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</si>
  <si>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</si>
  <si>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</si>
  <si>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</si>
  <si>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</si>
  <si>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</si>
  <si>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</si>
  <si>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</si>
  <si>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</si>
  <si>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</si>
  <si>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</si>
  <si>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</si>
  <si>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</si>
  <si>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</si>
  <si>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</si>
  <si>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</si>
  <si>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</si>
  <si>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</si>
  <si>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</si>
  <si>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</si>
  <si>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</si>
  <si>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</si>
  <si>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</si>
  <si>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</si>
  <si>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</si>
  <si>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</si>
  <si>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</si>
  <si>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</si>
  <si>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</si>
  <si>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</si>
  <si>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</si>
  <si>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</si>
  <si>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</si>
  <si>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</si>
  <si>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</si>
  <si>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</si>
  <si>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</si>
  <si>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</si>
  <si>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</si>
  <si>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</si>
  <si>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</si>
  <si>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</si>
  <si>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</si>
  <si>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</si>
  <si>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</si>
  <si>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</si>
  <si>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</si>
  <si>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</si>
  <si>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</si>
  <si>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</si>
  <si>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</si>
  <si>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</si>
  <si>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</si>
  <si>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</si>
  <si>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</si>
  <si>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</si>
  <si>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</si>
  <si>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</si>
  <si>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</si>
  <si>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</si>
  <si>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</si>
  <si>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</si>
  <si>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</si>
  <si>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</si>
  <si>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</si>
  <si>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</si>
  <si>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</si>
  <si>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</si>
  <si>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</si>
  <si>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</si>
  <si>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</si>
  <si>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</si>
  <si>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</si>
  <si>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</si>
  <si>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</si>
  <si>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</si>
  <si>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</si>
  <si>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</si>
  <si>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</si>
  <si>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</si>
  <si>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</si>
  <si>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</si>
  <si>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</si>
  <si>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</si>
  <si>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</si>
  <si>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</si>
  <si>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</si>
  <si>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</si>
  <si>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</si>
  <si>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</si>
  <si>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</si>
  <si>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</si>
  <si>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</si>
  <si>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You took down that unruly Jello!\nYou're making great progress, Ms. Bash!</t>
    <phoneticPr fontId="6" type="noConversion"/>
  </si>
  <si>
    <t>이럴 수가! 새디마저 배쉬 선수의 손에 꺾이다니!\n이제 챔피언까지 한걸음 남았습니다!</t>
    <phoneticPr fontId="6" type="noConversion"/>
  </si>
  <si>
    <t>I can't believe it! Even Saddy was defeated by Ms. Bash!\nNow you're one step away from being crowned champion!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</si>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</sst>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2" xfId="0" applyNumberFormat="1" applyFill="1" applyBorder="1">
      <alignment vertical="center"/>
    </xf>
  </cellXfs>
  <cellStyles count="2">
    <cellStyle name="백분율" xfId="1" builtinId="5"/>
    <cellStyle name="표준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1" dataDxfId="80">
  <autoFilter ref="B2:R33" xr:uid="{00000000-0009-0000-0100-000004000000}"/>
  <tableColumns count="17">
    <tableColumn id="1" xr3:uid="{00000000-0010-0000-1A00-000001000000}" name="#Index 참조용" dataDxfId="7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8">
      <calculatedColumnFormula>INDEX(LocaleTable[LocaleKR],MATCH(ItemTable[[#This Row],[Name]],LocaleTable[StringKey],0))</calculatedColumnFormula>
    </tableColumn>
    <tableColumn id="13" xr3:uid="{00000000-0010-0000-1A00-00000D000000}" name="#설명" dataDxfId="7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4">
      <calculatedColumnFormula>ItemTable[[#This Row],['#Index 참조용]]</calculatedColumnFormula>
    </tableColumn>
    <tableColumn id="2" xr3:uid="{00000000-0010-0000-1A00-000002000000}" name="Name" dataDxfId="73"/>
    <tableColumn id="3" xr3:uid="{00000000-0010-0000-1A00-000003000000}" name="Desc" dataDxfId="72"/>
    <tableColumn id="18" xr3:uid="{00000000-0010-0000-1A00-000012000000}" name="PlusDesc" dataDxfId="71"/>
    <tableColumn id="19" xr3:uid="{00000000-0010-0000-1A00-000013000000}" name="MinusDesc" dataDxfId="70"/>
    <tableColumn id="4" xr3:uid="{00000000-0010-0000-1A00-000004000000}" name="GradeType" dataDxfId="69"/>
    <tableColumn id="10" xr3:uid="{00000000-0010-0000-1A00-00000A000000}" name="MaxStack" dataDxfId="68"/>
    <tableColumn id="5" xr3:uid="{00000000-0010-0000-1A00-000005000000}" name="Value" dataDxfId="67"/>
    <tableColumn id="6" xr3:uid="{00000000-0010-0000-1A00-000006000000}" name="CostHp" dataDxfId="66"/>
    <tableColumn id="7" xr3:uid="{00000000-0010-0000-1A00-000007000000}" name="CostGold" dataDxfId="65"/>
    <tableColumn id="8" xr3:uid="{00000000-0010-0000-1A00-000008000000}" name="ItemEffectDataId" dataDxfId="64"/>
    <tableColumn id="9" xr3:uid="{00000000-0010-0000-1A00-000009000000}" name="ItemIconPath" dataDxfId="6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2">
  <autoFilter ref="B2:S41" xr:uid="{00000000-0009-0000-0100-000001000000}"/>
  <tableColumns count="18">
    <tableColumn id="2" xr3:uid="{00000000-0010-0000-1B00-000002000000}" name="#이름" dataDxfId="61">
      <calculatedColumnFormula>INDEX(ItemTable['#이름],MATCH(ItemEffectTable[[#This Row],[Index]],ItemTable[ItemEffectDataId],0))</calculatedColumnFormula>
    </tableColumn>
    <tableColumn id="3" xr3:uid="{00000000-0010-0000-1B00-000003000000}" name="#Grade" dataDxfId="60">
      <calculatedColumnFormula>INDEX(ItemTable[GradeType],MATCH(ItemEffectTable[[#This Row],[Index]],ItemTable[ItemEffectDataId],0))</calculatedColumnFormula>
    </tableColumn>
    <tableColumn id="4" xr3:uid="{00000000-0010-0000-1B00-000004000000}" name="Index" dataDxfId="5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8"/>
    <tableColumn id="12" xr3:uid="{00000000-0010-0000-1B00-00000C000000}" name="ConditionValue"/>
    <tableColumn id="1" xr3:uid="{00000000-0010-0000-1B00-000001000000}" name="#트리거1" dataDxfId="5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9">
  <autoFilter ref="B2:U35" xr:uid="{00000000-0009-0000-0100-000016000000}"/>
  <tableColumns count="20">
    <tableColumn id="3" xr3:uid="{00000000-0010-0000-1C00-000003000000}" name="#아이템 명칭" dataDxfId="4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3"/>
    <tableColumn id="8" xr3:uid="{00000000-0010-0000-1C00-000008000000}" name="#효력 가치 판단" dataDxfId="4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2">
  <autoFilter ref="B2:N25" xr:uid="{00000000-0009-0000-0100-000017000000}"/>
  <tableColumns count="13">
    <tableColumn id="4" xr3:uid="{00000000-0010-0000-1D00-000004000000}" name="Index" dataDxfId="31"/>
    <tableColumn id="7" xr3:uid="{00000000-0010-0000-1D00-000007000000}" name="#명칭" dataDxfId="3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9"/>
    <tableColumn id="13" xr3:uid="{00000000-0010-0000-1D00-00000D000000}" name="Param2"/>
    <tableColumn id="2" xr3:uid="{00000000-0010-0000-1D00-000002000000}" name="#Param2설명" dataDxfId="28"/>
    <tableColumn id="14" xr3:uid="{00000000-0010-0000-1D00-00000E000000}" name="Param3"/>
    <tableColumn id="3" xr3:uid="{00000000-0010-0000-1D00-000003000000}" name="#Param3설명" dataDxfId="27"/>
    <tableColumn id="8" xr3:uid="{00000000-0010-0000-1D00-000008000000}" name="Param4" dataDxfId="26"/>
    <tableColumn id="9" xr3:uid="{00000000-0010-0000-1D00-000009000000}" name="#Param3설명3" dataDxfId="25"/>
    <tableColumn id="10" xr3:uid="{00000000-0010-0000-1D00-00000A000000}" name="#가치판단" dataDxfId="2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1"/>
    <tableColumn id="3" xr3:uid="{00000000-0010-0000-1E00-000003000000}" name="#리소스 유형" dataDxfId="2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40" totalsRowShown="0">
  <autoFilter ref="B2:F40" xr:uid="{960D7941-DE0A-034E-B1B7-6132CB8AE4FA}"/>
  <tableColumns count="5">
    <tableColumn id="1" xr3:uid="{09B1B949-606D-1B40-B8B0-DA4AC4C1EC1F}" name="Index"/>
    <tableColumn id="2" xr3:uid="{575BF0B7-3E5E-5642-8C82-C47CD88F14BE}" name="LocaleId" dataDxfId="19"/>
    <tableColumn id="3" xr3:uid="{139B9400-56C9-6644-A87D-CE52E0600A5C}" name="Duration"/>
    <tableColumn id="4" xr3:uid="{2A1BF5A5-78F9-DE4B-A9D7-67414A2F9252}" name="#한국어" dataDxfId="18">
      <calculatedColumnFormula>INDEX(LocaleTable[LocaleKR],MATCH(표31[[#This Row],[LocaleId]],LocaleTable[StringKey],0))</calculatedColumnFormula>
    </tableColumn>
    <tableColumn id="5" xr3:uid="{F596FF80-B0C2-9643-BB05-5332A324D9BF}" name="#영어" dataDxfId="17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16" dataDxfId="15">
  <autoFilter ref="B2:I214" xr:uid="{00000000-0009-0000-0100-000003000000}"/>
  <tableColumns count="8">
    <tableColumn id="1" xr3:uid="{00000000-0010-0000-1F00-000001000000}" name="StringKey" dataDxfId="14"/>
    <tableColumn id="2" xr3:uid="{00000000-0010-0000-1F00-000002000000}" name="LocaleKR" dataDxfId="13"/>
    <tableColumn id="3" xr3:uid="{00000000-0010-0000-1F00-000003000000}" name="LocaleUS" dataDxfId="12"/>
    <tableColumn id="6" xr3:uid="{00000000-0010-0000-1F00-000006000000}" name="#컴포넌트1" dataDxfId="11"/>
    <tableColumn id="7" xr3:uid="{00000000-0010-0000-1F00-000007000000}" name="#컴포넌트2" dataDxfId="10"/>
    <tableColumn id="8" xr3:uid="{00000000-0010-0000-1F00-000008000000}" name="#컴포넌트3" dataDxfId="9"/>
    <tableColumn id="9" xr3:uid="{00000000-0010-0000-1F00-000009000000}" name="#컴포넌트4" dataDxfId="8"/>
    <tableColumn id="5" xr3:uid="{00000000-0010-0000-1F00-000005000000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 ht="18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 ht="18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 ht="18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1029</v>
      </c>
      <c r="D2" s="12" t="s">
        <v>1030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1027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1028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1026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872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872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872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890</v>
      </c>
      <c r="D94">
        <v>0</v>
      </c>
      <c r="E94">
        <v>206</v>
      </c>
      <c r="F94">
        <v>0</v>
      </c>
      <c r="G94">
        <v>16</v>
      </c>
      <c r="H94" s="11" t="s">
        <v>979</v>
      </c>
    </row>
    <row r="95" spans="2:8">
      <c r="B95">
        <v>806</v>
      </c>
      <c r="C95" s="11" t="s">
        <v>890</v>
      </c>
      <c r="D95">
        <v>15</v>
      </c>
      <c r="E95">
        <v>206</v>
      </c>
      <c r="F95">
        <v>0</v>
      </c>
      <c r="G95">
        <v>16</v>
      </c>
      <c r="H95" s="11" t="s">
        <v>979</v>
      </c>
    </row>
    <row r="96" spans="2:8">
      <c r="B96">
        <v>806</v>
      </c>
      <c r="C96" s="11" t="s">
        <v>890</v>
      </c>
      <c r="D96">
        <v>-15</v>
      </c>
      <c r="E96">
        <v>206</v>
      </c>
      <c r="F96">
        <v>0</v>
      </c>
      <c r="G96">
        <v>16</v>
      </c>
      <c r="H96" s="11" t="s">
        <v>979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879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890</v>
      </c>
      <c r="D7" t="b">
        <v>1</v>
      </c>
      <c r="E7">
        <v>2</v>
      </c>
      <c r="F7">
        <v>40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877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878</v>
      </c>
    </row>
    <row r="20" spans="2:7">
      <c r="B20">
        <v>3003</v>
      </c>
      <c r="C20" s="14" t="s">
        <v>874</v>
      </c>
      <c r="D20" t="b">
        <v>1</v>
      </c>
      <c r="E20">
        <v>1</v>
      </c>
      <c r="F20">
        <v>25</v>
      </c>
      <c r="G20" s="16" t="s">
        <v>875</v>
      </c>
    </row>
    <row r="21" spans="2:7">
      <c r="B21">
        <v>3004</v>
      </c>
      <c r="C21" s="14" t="s">
        <v>873</v>
      </c>
      <c r="D21" t="b">
        <v>1</v>
      </c>
      <c r="E21">
        <v>1</v>
      </c>
      <c r="F21">
        <v>25</v>
      </c>
      <c r="G21" s="16" t="s">
        <v>876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7" sqref="E27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832031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870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871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880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1040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1009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1011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1041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1042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848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889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980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15" sqref="F15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996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989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985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986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884</v>
      </c>
      <c r="I18" s="11" t="s">
        <v>823</v>
      </c>
      <c r="J18" s="11" t="s">
        <v>866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884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1001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1010</v>
      </c>
      <c r="I21" s="11" t="s">
        <v>823</v>
      </c>
      <c r="J21" s="16" t="s">
        <v>985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1010</v>
      </c>
      <c r="I22" s="16" t="s">
        <v>823</v>
      </c>
      <c r="J22" s="11" t="s">
        <v>986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1021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981</v>
      </c>
      <c r="J33" s="11" t="s">
        <v>866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989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981</v>
      </c>
      <c r="J35" s="11" t="s">
        <v>866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D13" sqref="D13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1008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883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1019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1020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1018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114.28571428571425</v>
      </c>
      <c r="Q19" s="19">
        <f>SUMIF(ItemEffectTable23['#아이템 명칭],ItemEffectTable23[[#This Row],['#아이템 명칭]],ItemEffectTable23['#총 가치판단])</f>
        <v>39.285714285714235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0.7857142857142847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39.285714285714235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0.7857142857142847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984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869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984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40"/>
  <sheetViews>
    <sheetView tabSelected="1" workbookViewId="0">
      <selection activeCell="E42" sqref="E42"/>
    </sheetView>
  </sheetViews>
  <sheetFormatPr baseColWidth="10" defaultColWidth="11.1640625" defaultRowHeight="17"/>
  <cols>
    <col min="3" max="3" width="28.6640625" customWidth="1"/>
    <col min="4" max="4" width="14.33203125" customWidth="1"/>
    <col min="5" max="5" width="100.33203125" customWidth="1"/>
    <col min="6" max="6" width="105.83203125" customWidth="1"/>
  </cols>
  <sheetData>
    <row r="1" spans="2:6">
      <c r="B1" s="16" t="s">
        <v>610</v>
      </c>
      <c r="C1" s="16" t="s">
        <v>1051</v>
      </c>
      <c r="D1" s="16" t="s">
        <v>312</v>
      </c>
      <c r="E1" s="16"/>
      <c r="F1" s="16"/>
    </row>
    <row r="2" spans="2:6">
      <c r="B2" s="16" t="s">
        <v>1049</v>
      </c>
      <c r="C2" s="16" t="s">
        <v>1050</v>
      </c>
      <c r="D2" s="16" t="s">
        <v>320</v>
      </c>
      <c r="E2" s="87" t="s">
        <v>1052</v>
      </c>
      <c r="F2" s="87" t="s">
        <v>1053</v>
      </c>
    </row>
    <row r="3" spans="2:6">
      <c r="B3">
        <v>1000</v>
      </c>
      <c r="C3" s="16" t="s">
        <v>1054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1055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1056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1057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1058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1059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1060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1061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1062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1063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1064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1065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1066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1067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1068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1069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1070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1071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1072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1073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1074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1075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1076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1077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1078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1079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1080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1081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1082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1083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1084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1085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1086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1087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1088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Ms. Bash!</v>
      </c>
    </row>
    <row r="38" spans="2:6">
      <c r="B38">
        <v>3001</v>
      </c>
      <c r="C38" t="s">
        <v>1090</v>
      </c>
      <c r="D38">
        <v>1</v>
      </c>
      <c r="E38" s="91" t="str">
        <f>INDEX(LocaleTable[LocaleKR],MATCH(표31[[#This Row],[LocaleId]],LocaleTable[StringKey],0))</f>
        <v>준비되시면 제 앞에서 F를 눌러주시길!\n다음 역으로 가는 지하철로 보내드리겠습니다!</v>
      </c>
      <c r="F38" s="91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1089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Ms. Bash!\nNow you're one step away from being crowned champion!</v>
      </c>
    </row>
    <row r="40" spans="2:6">
      <c r="B40">
        <v>3002</v>
      </c>
      <c r="C40" t="s">
        <v>1090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89" zoomScale="85" zoomScaleNormal="85" zoomScaleSheetLayoutView="100" workbookViewId="0">
      <selection activeCell="M112" sqref="M112"/>
    </sheetView>
  </sheetViews>
  <sheetFormatPr baseColWidth="10" defaultColWidth="8.6640625" defaultRowHeight="17"/>
  <cols>
    <col min="2" max="2" width="22.6640625" customWidth="1"/>
    <col min="3" max="3" width="73.5" style="9" customWidth="1"/>
    <col min="4" max="4" width="64.1640625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916</v>
      </c>
      <c r="D78" s="51" t="s">
        <v>917</v>
      </c>
      <c r="E78" s="81" t="s">
        <v>901</v>
      </c>
      <c r="F78" s="81" t="s">
        <v>902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918</v>
      </c>
      <c r="D79" s="51" t="s">
        <v>919</v>
      </c>
      <c r="E79" s="83" t="s">
        <v>901</v>
      </c>
      <c r="F79" s="83" t="s">
        <v>902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920</v>
      </c>
      <c r="D80" s="51" t="s">
        <v>921</v>
      </c>
      <c r="E80" s="83" t="s">
        <v>901</v>
      </c>
      <c r="F80" s="83" t="s">
        <v>902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922</v>
      </c>
      <c r="D81" s="51" t="s">
        <v>923</v>
      </c>
      <c r="E81" s="83" t="s">
        <v>901</v>
      </c>
      <c r="F81" s="83" t="s">
        <v>902</v>
      </c>
      <c r="G81" s="83" t="s">
        <v>903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924</v>
      </c>
      <c r="D82" s="51" t="s">
        <v>925</v>
      </c>
      <c r="E82" s="83" t="s">
        <v>901</v>
      </c>
      <c r="F82" s="83" t="s">
        <v>902</v>
      </c>
      <c r="G82" s="83" t="s">
        <v>903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926</v>
      </c>
      <c r="D83" s="51" t="s">
        <v>927</v>
      </c>
      <c r="E83" s="83" t="s">
        <v>901</v>
      </c>
      <c r="F83" s="83" t="s">
        <v>902</v>
      </c>
      <c r="G83" s="83" t="s">
        <v>904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928</v>
      </c>
      <c r="D84" s="51" t="s">
        <v>929</v>
      </c>
      <c r="E84" s="83" t="s">
        <v>901</v>
      </c>
      <c r="F84" s="83" t="s">
        <v>902</v>
      </c>
      <c r="G84" s="83" t="s">
        <v>904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930</v>
      </c>
      <c r="D85" s="51" t="s">
        <v>931</v>
      </c>
      <c r="E85" s="83" t="s">
        <v>901</v>
      </c>
      <c r="F85" s="83" t="s">
        <v>902</v>
      </c>
      <c r="G85" s="83" t="s">
        <v>904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932</v>
      </c>
      <c r="D86" s="51" t="s">
        <v>933</v>
      </c>
      <c r="E86" s="83" t="s">
        <v>901</v>
      </c>
      <c r="F86" s="83" t="s">
        <v>902</v>
      </c>
      <c r="G86" s="83" t="s">
        <v>905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934</v>
      </c>
      <c r="D87" s="51" t="s">
        <v>935</v>
      </c>
      <c r="E87" s="83" t="s">
        <v>901</v>
      </c>
      <c r="F87" s="83" t="s">
        <v>902</v>
      </c>
      <c r="G87" s="83" t="s">
        <v>906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936</v>
      </c>
      <c r="D88" s="51" t="s">
        <v>937</v>
      </c>
      <c r="E88" s="83" t="s">
        <v>901</v>
      </c>
      <c r="F88" s="83" t="s">
        <v>902</v>
      </c>
      <c r="G88" s="83" t="s">
        <v>907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938</v>
      </c>
      <c r="D89" s="51" t="s">
        <v>939</v>
      </c>
      <c r="E89" s="83" t="s">
        <v>901</v>
      </c>
      <c r="F89" s="83" t="s">
        <v>902</v>
      </c>
      <c r="G89" s="83" t="s">
        <v>908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940</v>
      </c>
      <c r="D90" s="51" t="s">
        <v>941</v>
      </c>
      <c r="E90" s="83" t="s">
        <v>901</v>
      </c>
      <c r="F90" s="83" t="s">
        <v>902</v>
      </c>
      <c r="G90" s="83" t="s">
        <v>908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942</v>
      </c>
      <c r="D91" s="51" t="s">
        <v>943</v>
      </c>
      <c r="E91" s="83" t="s">
        <v>901</v>
      </c>
      <c r="F91" s="83" t="s">
        <v>902</v>
      </c>
      <c r="G91" s="83" t="s">
        <v>908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944</v>
      </c>
      <c r="D92" s="51" t="s">
        <v>945</v>
      </c>
      <c r="E92" s="83" t="s">
        <v>901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946</v>
      </c>
      <c r="D93" s="51" t="s">
        <v>947</v>
      </c>
      <c r="E93" s="83" t="s">
        <v>901</v>
      </c>
      <c r="F93" s="83" t="s">
        <v>497</v>
      </c>
      <c r="G93" s="83" t="s">
        <v>909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948</v>
      </c>
      <c r="D94" s="51" t="s">
        <v>1036</v>
      </c>
      <c r="E94" s="83" t="s">
        <v>901</v>
      </c>
      <c r="F94" s="83" t="s">
        <v>497</v>
      </c>
      <c r="G94" s="83" t="s">
        <v>909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949</v>
      </c>
      <c r="D95" s="51" t="s">
        <v>950</v>
      </c>
      <c r="E95" s="83" t="s">
        <v>901</v>
      </c>
      <c r="F95" s="83" t="s">
        <v>497</v>
      </c>
      <c r="G95" s="83" t="s">
        <v>909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951</v>
      </c>
      <c r="D96" s="51" t="s">
        <v>1037</v>
      </c>
      <c r="E96" s="83" t="s">
        <v>901</v>
      </c>
      <c r="F96" s="83" t="s">
        <v>497</v>
      </c>
      <c r="G96" s="83" t="s">
        <v>909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952</v>
      </c>
      <c r="D97" s="51" t="s">
        <v>953</v>
      </c>
      <c r="E97" s="83" t="s">
        <v>901</v>
      </c>
      <c r="F97" s="83" t="s">
        <v>497</v>
      </c>
      <c r="G97" s="83" t="s">
        <v>909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954</v>
      </c>
      <c r="D98" s="51" t="s">
        <v>955</v>
      </c>
      <c r="E98" s="83" t="s">
        <v>901</v>
      </c>
      <c r="F98" s="83" t="s">
        <v>497</v>
      </c>
      <c r="G98" s="83" t="s">
        <v>909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58" t="s">
        <v>1038</v>
      </c>
      <c r="D99" s="51" t="s">
        <v>1039</v>
      </c>
      <c r="E99" s="83" t="s">
        <v>901</v>
      </c>
      <c r="F99" s="83" t="s">
        <v>497</v>
      </c>
      <c r="G99" s="83" t="s">
        <v>909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956</v>
      </c>
      <c r="D100" s="51" t="s">
        <v>957</v>
      </c>
      <c r="E100" s="83" t="s">
        <v>901</v>
      </c>
      <c r="F100" s="83" t="s">
        <v>497</v>
      </c>
      <c r="G100" s="83" t="s">
        <v>909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958</v>
      </c>
      <c r="D101" s="51" t="s">
        <v>959</v>
      </c>
      <c r="E101" s="83" t="s">
        <v>901</v>
      </c>
      <c r="F101" s="83" t="s">
        <v>497</v>
      </c>
      <c r="G101" s="83" t="s">
        <v>909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71" t="s">
        <v>1101</v>
      </c>
      <c r="D102" s="51" t="s">
        <v>960</v>
      </c>
      <c r="E102" s="83" t="s">
        <v>901</v>
      </c>
      <c r="F102" s="83" t="s">
        <v>497</v>
      </c>
      <c r="G102" s="83" t="s">
        <v>909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961</v>
      </c>
      <c r="D103" s="51" t="s">
        <v>962</v>
      </c>
      <c r="E103" s="83" t="s">
        <v>901</v>
      </c>
      <c r="F103" s="83" t="s">
        <v>497</v>
      </c>
      <c r="G103" s="83" t="s">
        <v>910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963</v>
      </c>
      <c r="D104" s="51" t="s">
        <v>964</v>
      </c>
      <c r="E104" s="83" t="s">
        <v>901</v>
      </c>
      <c r="F104" s="83" t="s">
        <v>497</v>
      </c>
      <c r="G104" s="83" t="s">
        <v>910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965</v>
      </c>
      <c r="D105" s="51" t="s">
        <v>966</v>
      </c>
      <c r="E105" s="83" t="s">
        <v>901</v>
      </c>
      <c r="F105" s="83" t="s">
        <v>497</v>
      </c>
      <c r="G105" s="83" t="s">
        <v>911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967</v>
      </c>
      <c r="D106" s="51" t="s">
        <v>968</v>
      </c>
      <c r="E106" s="83" t="s">
        <v>901</v>
      </c>
      <c r="F106" s="83" t="s">
        <v>497</v>
      </c>
      <c r="G106" s="83" t="s">
        <v>911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969</v>
      </c>
      <c r="D107" s="51" t="s">
        <v>970</v>
      </c>
      <c r="E107" s="83" t="s">
        <v>901</v>
      </c>
      <c r="F107" s="83" t="s">
        <v>497</v>
      </c>
      <c r="G107" s="83" t="s">
        <v>911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971</v>
      </c>
      <c r="D108" s="51" t="s">
        <v>972</v>
      </c>
      <c r="E108" s="83" t="s">
        <v>901</v>
      </c>
      <c r="F108" s="83" t="s">
        <v>497</v>
      </c>
      <c r="G108" s="83" t="s">
        <v>911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973</v>
      </c>
      <c r="D109" s="51" t="s">
        <v>974</v>
      </c>
      <c r="E109" s="83" t="s">
        <v>901</v>
      </c>
      <c r="F109" s="83" t="s">
        <v>497</v>
      </c>
      <c r="G109" s="83" t="s">
        <v>912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975</v>
      </c>
      <c r="D110" s="51" t="s">
        <v>976</v>
      </c>
      <c r="E110" s="83" t="s">
        <v>901</v>
      </c>
      <c r="F110" s="83" t="s">
        <v>497</v>
      </c>
      <c r="G110" s="83" t="s">
        <v>912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977</v>
      </c>
      <c r="D111" s="51" t="s">
        <v>978</v>
      </c>
      <c r="E111" s="83" t="s">
        <v>901</v>
      </c>
      <c r="F111" s="83" t="s">
        <v>497</v>
      </c>
      <c r="G111" s="83" t="s">
        <v>912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71" t="s">
        <v>1097</v>
      </c>
      <c r="D112" s="51" t="s">
        <v>1098</v>
      </c>
      <c r="E112" s="83" t="s">
        <v>901</v>
      </c>
      <c r="F112" s="83" t="s">
        <v>913</v>
      </c>
      <c r="G112" s="83" t="s">
        <v>914</v>
      </c>
      <c r="H112" s="83" t="s">
        <v>905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71" t="s">
        <v>1099</v>
      </c>
      <c r="D113" s="51" t="s">
        <v>1100</v>
      </c>
      <c r="E113" s="83" t="s">
        <v>901</v>
      </c>
      <c r="F113" s="83" t="s">
        <v>913</v>
      </c>
      <c r="G113" s="83" t="s">
        <v>914</v>
      </c>
      <c r="H113" s="83" t="s">
        <v>906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71" t="s">
        <v>1102</v>
      </c>
      <c r="D114" s="51" t="s">
        <v>1103</v>
      </c>
      <c r="E114" s="83" t="s">
        <v>901</v>
      </c>
      <c r="F114" s="83" t="s">
        <v>913</v>
      </c>
      <c r="G114" s="83" t="s">
        <v>914</v>
      </c>
      <c r="H114" s="83" t="s">
        <v>915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Item_Name_2006</v>
      </c>
      <c r="C121" s="51" t="s">
        <v>1002</v>
      </c>
      <c r="D121" s="51" t="s">
        <v>1003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 ht="18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 ht="18">
      <c r="B123" t="str">
        <f>LocaleTable[[#This Row],['#인덱스제너레이터]]</f>
        <v>Item_Name_3001</v>
      </c>
      <c r="C123" s="51" t="s">
        <v>852</v>
      </c>
      <c r="D123" s="51" t="s">
        <v>853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 ht="18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 ht="18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 ht="18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 ht="18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 ht="18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 ht="18">
      <c r="B129" t="str">
        <f>LocaleTable[[#This Row],['#인덱스제너레이터]]</f>
        <v>Item_Name_3007</v>
      </c>
      <c r="C129" s="52" t="s">
        <v>867</v>
      </c>
      <c r="D129" s="51" t="s">
        <v>868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 ht="18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 ht="18">
      <c r="B131" t="str">
        <f>LocaleTable[[#This Row],['#인덱스제너레이터]]</f>
        <v>Item_Name_3009</v>
      </c>
      <c r="C131" s="51" t="s">
        <v>1012</v>
      </c>
      <c r="D131" s="51" t="s">
        <v>1013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 ht="18">
      <c r="B132" t="str">
        <f>LocaleTable[[#This Row],['#인덱스제너레이터]]</f>
        <v>Item_Name_3010</v>
      </c>
      <c r="C132" s="51" t="s">
        <v>1024</v>
      </c>
      <c r="D132" s="51" t="s">
        <v>1025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 ht="18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 ht="18">
      <c r="B134" t="str">
        <f>LocaleTable[[#This Row],['#인덱스제너레이터]]</f>
        <v>Item_Name_4002</v>
      </c>
      <c r="C134" s="51" t="s">
        <v>857</v>
      </c>
      <c r="D134" s="51" t="s">
        <v>854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 ht="18">
      <c r="B135" t="str">
        <f>LocaleTable[[#This Row],['#인덱스제너레이터]]</f>
        <v>Item_Name_4003</v>
      </c>
      <c r="C135" s="51" t="s">
        <v>1043</v>
      </c>
      <c r="D135" s="51" t="s">
        <v>1044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 ht="18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 ht="18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 ht="18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 ht="18">
      <c r="B139" t="str">
        <f>LocaleTable[[#This Row],['#인덱스제너레이터]]</f>
        <v>Item_Name_4007</v>
      </c>
      <c r="C139" s="52" t="s">
        <v>863</v>
      </c>
      <c r="D139" s="51" t="s">
        <v>862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 ht="18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 ht="18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 ht="18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 ht="18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 ht="18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 ht="18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 ht="18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6">
      <c r="B147" t="str">
        <f>LocaleTable[[#This Row],['#인덱스제너레이터]]</f>
        <v>Item_Desc_2001</v>
      </c>
      <c r="C147" s="52" t="s">
        <v>858</v>
      </c>
      <c r="D147" s="51" t="s">
        <v>859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 ht="18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6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6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6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 ht="18">
      <c r="B152" t="str">
        <f>LocaleTable[[#This Row],['#인덱스제너레이터]]</f>
        <v>Item_Desc_2006</v>
      </c>
      <c r="C152" s="51" t="s">
        <v>1004</v>
      </c>
      <c r="D152" s="51" t="s">
        <v>1005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 ht="18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 ht="18">
      <c r="B154" t="str">
        <f>LocaleTable[[#This Row],['#인덱스제너레이터]]</f>
        <v>Item_Desc_3001</v>
      </c>
      <c r="C154" s="78" t="s">
        <v>860</v>
      </c>
      <c r="D154" s="77" t="s">
        <v>861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 ht="18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6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 ht="18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 ht="36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 ht="18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6">
      <c r="B160" t="str">
        <f>LocaleTable[[#This Row],['#인덱스제너레이터]]</f>
        <v>Item_Desc_3007</v>
      </c>
      <c r="C160" s="52" t="s">
        <v>881</v>
      </c>
      <c r="D160" s="51" t="s">
        <v>882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6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 ht="18">
      <c r="B162" t="str">
        <f>LocaleTable[[#This Row],['#인덱스제너레이터]]</f>
        <v>Item_Desc_3009</v>
      </c>
      <c r="C162" s="51" t="s">
        <v>1014</v>
      </c>
      <c r="D162" s="51" t="s">
        <v>1015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 ht="18">
      <c r="B163" t="str">
        <f>LocaleTable[[#This Row],['#인덱스제너레이터]]</f>
        <v>Item_Desc_3010</v>
      </c>
      <c r="C163" s="51" t="s">
        <v>1022</v>
      </c>
      <c r="D163" s="51" t="s">
        <v>1023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6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6">
      <c r="B165" t="str">
        <f>LocaleTable[[#This Row],['#인덱스제너레이터]]</f>
        <v>Item_Desc_4002</v>
      </c>
      <c r="C165" s="52" t="s">
        <v>855</v>
      </c>
      <c r="D165" s="51" t="s">
        <v>856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18">
      <c r="B166" t="str">
        <f>LocaleTable[[#This Row],['#인덱스제너레이터]]</f>
        <v>Item_Desc_4003</v>
      </c>
      <c r="C166" s="51" t="s">
        <v>1046</v>
      </c>
      <c r="D166" s="51" t="s">
        <v>1045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6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 ht="18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 ht="18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6">
      <c r="B170" t="str">
        <f>LocaleTable[[#This Row],['#인덱스제너레이터]]</f>
        <v>Item_Desc_4007</v>
      </c>
      <c r="C170" s="78" t="s">
        <v>885</v>
      </c>
      <c r="D170" s="77" t="s">
        <v>886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6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 ht="18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6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6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 ht="18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 ht="18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 ht="18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 ht="18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 ht="18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 ht="18">
      <c r="B180" t="str">
        <f>LocaleTable[[#This Row],['#인덱스제너레이터]]</f>
        <v>Item_PlusDesc_2003</v>
      </c>
      <c r="C180" s="51" t="s">
        <v>1091</v>
      </c>
      <c r="D180" s="51" t="s">
        <v>1093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 ht="18">
      <c r="B181" t="str">
        <f>LocaleTable[[#This Row],['#인덱스제너레이터]]</f>
        <v>Item_PlusDesc_2004</v>
      </c>
      <c r="C181" s="51" t="s">
        <v>1092</v>
      </c>
      <c r="D181" s="51" t="s">
        <v>1094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 ht="18">
      <c r="B182" t="str">
        <f>LocaleTable[[#This Row],['#인덱스제너레이터]]</f>
        <v>Item_PlusDesc_2005</v>
      </c>
      <c r="C182" s="71" t="s">
        <v>726</v>
      </c>
      <c r="D182" s="51" t="s">
        <v>864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 ht="18">
      <c r="B183" t="str">
        <f>LocaleTable[[#This Row],['#인덱스제너레이터]]</f>
        <v>Item_PlusDesc_2006</v>
      </c>
      <c r="C183" s="52" t="s">
        <v>1006</v>
      </c>
      <c r="D183" s="51" t="s">
        <v>1007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 ht="18">
      <c r="B184" t="str">
        <f>LocaleTable[[#This Row],['#인덱스제너레이터]]</f>
        <v>Item_PlusDesc_3000</v>
      </c>
      <c r="C184" s="77" t="s">
        <v>997</v>
      </c>
      <c r="D184" s="51" t="s">
        <v>998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 ht="18">
      <c r="B185" t="str">
        <f>LocaleTable[[#This Row],['#인덱스제너레이터]]</f>
        <v>Item_PlusDesc_3001</v>
      </c>
      <c r="C185" s="51" t="s">
        <v>1033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6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 ht="18">
      <c r="B187" t="str">
        <f>LocaleTable[[#This Row],['#인덱스제너레이터]]</f>
        <v>Item_PlusDesc_3003</v>
      </c>
      <c r="C187" s="51" t="s">
        <v>887</v>
      </c>
      <c r="D187" s="51" t="s">
        <v>888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 ht="18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 ht="18">
      <c r="B189" t="str">
        <f>LocaleTable[[#This Row],['#인덱스제너레이터]]</f>
        <v>Item_PlusDesc_3005</v>
      </c>
      <c r="C189" s="58" t="s">
        <v>1095</v>
      </c>
      <c r="D189" s="51" t="s">
        <v>1096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 ht="18">
      <c r="B190" t="str">
        <f>LocaleTable[[#This Row],['#인덱스제너레이터]]</f>
        <v>Item_PlusDesc_3006</v>
      </c>
      <c r="C190" s="52" t="s">
        <v>982</v>
      </c>
      <c r="D190" s="51" t="s">
        <v>983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 ht="18">
      <c r="B191" t="str">
        <f>LocaleTable[[#This Row],['#인덱스제너레이터]]</f>
        <v>Item_PlusDesc_3007</v>
      </c>
      <c r="C191" s="52" t="s">
        <v>1031</v>
      </c>
      <c r="D191" s="51" t="s">
        <v>1032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 ht="18">
      <c r="B192" t="str">
        <f>LocaleTable[[#This Row],['#인덱스제너레이터]]</f>
        <v>Item_PlusDesc_3008</v>
      </c>
      <c r="C192" s="51" t="s">
        <v>999</v>
      </c>
      <c r="D192" s="51" t="s">
        <v>1000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 ht="18">
      <c r="B193" t="str">
        <f>LocaleTable[[#This Row],['#인덱스제너레이터]]</f>
        <v>Item_PlusDesc_3009</v>
      </c>
      <c r="C193" s="51" t="s">
        <v>1016</v>
      </c>
      <c r="D193" s="51" t="s">
        <v>1017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18">
      <c r="B194" t="str">
        <f>LocaleTable[[#This Row],['#인덱스제너레이터]]</f>
        <v>Item_PlusDesc_3010</v>
      </c>
      <c r="C194" s="51" t="s">
        <v>1034</v>
      </c>
      <c r="D194" s="51" t="s">
        <v>1035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6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 ht="18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 ht="18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 ht="18">
      <c r="B198" t="str">
        <f>LocaleTable[[#This Row],['#인덱스제너레이터]]</f>
        <v>Item_PlusDesc_4004</v>
      </c>
      <c r="C198" s="51" t="s">
        <v>992</v>
      </c>
      <c r="D198" s="51" t="s">
        <v>993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 ht="18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 ht="18">
      <c r="B200" t="str">
        <f>LocaleTable[[#This Row],['#인덱스제너레이터]]</f>
        <v>Item_PlusDesc_4006</v>
      </c>
      <c r="C200" s="51" t="s">
        <v>990</v>
      </c>
      <c r="D200" s="51" t="s">
        <v>991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 ht="18">
      <c r="B201" t="str">
        <f>LocaleTable[[#This Row],['#인덱스제너레이터]]</f>
        <v>Item_PlusDesc_4007</v>
      </c>
      <c r="C201" s="51" t="s">
        <v>994</v>
      </c>
      <c r="D201" s="51" t="s">
        <v>995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 ht="18">
      <c r="B202" t="str">
        <f>LocaleTable[[#This Row],['#인덱스제너레이터]]</f>
        <v>Item_PlusDesc_10000</v>
      </c>
      <c r="C202" s="52" t="s">
        <v>899</v>
      </c>
      <c r="D202" s="51" t="s">
        <v>898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 ht="18">
      <c r="B203" t="str">
        <f>LocaleTable[[#This Row],['#인덱스제너레이터]]</f>
        <v>Item_PlusDesc_10001</v>
      </c>
      <c r="C203" s="52" t="s">
        <v>895</v>
      </c>
      <c r="D203" s="51" t="s">
        <v>891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 ht="18">
      <c r="B204" t="str">
        <f>LocaleTable[[#This Row],['#인덱스제너레이터]]</f>
        <v>Item_PlusDesc_10002</v>
      </c>
      <c r="C204" s="52" t="s">
        <v>896</v>
      </c>
      <c r="D204" s="51" t="s">
        <v>892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 ht="18">
      <c r="B205" t="str">
        <f>LocaleTable[[#This Row],['#인덱스제너레이터]]</f>
        <v>Item_PlusDesc_10003</v>
      </c>
      <c r="C205" s="52" t="s">
        <v>456</v>
      </c>
      <c r="D205" s="51" t="s">
        <v>893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 ht="18">
      <c r="B206" t="str">
        <f>LocaleTable[[#This Row],['#인덱스제너레이터]]</f>
        <v>Item_PlusDesc_10004</v>
      </c>
      <c r="C206" s="51" t="s">
        <v>900</v>
      </c>
      <c r="D206" s="51" t="s">
        <v>897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 ht="18">
      <c r="B207" t="str">
        <f>LocaleTable[[#This Row],['#인덱스제너레이터]]</f>
        <v>Item_PlusDesc_10005</v>
      </c>
      <c r="C207" s="51" t="s">
        <v>457</v>
      </c>
      <c r="D207" s="51" t="s">
        <v>894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 ht="18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 ht="18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 ht="18">
      <c r="B210" t="str">
        <f>LocaleTable[[#This Row],['#인덱스제너레이터]]</f>
        <v>Item_MinusDesc_4003</v>
      </c>
      <c r="C210" s="51" t="s">
        <v>727</v>
      </c>
      <c r="D210" s="51" t="s">
        <v>865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 ht="18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 ht="18">
      <c r="B212" t="str">
        <f>LocaleTable[[#This Row],['#인덱스제너레이터]]</f>
        <v>Item_MinusDesc_4005</v>
      </c>
      <c r="C212" s="51" t="s">
        <v>1047</v>
      </c>
      <c r="D212" s="51" t="s">
        <v>1048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 ht="18">
      <c r="B213" t="str">
        <f>LocaleTable[[#This Row],['#인덱스제너레이터]]</f>
        <v>Item_MinusDesc_4006</v>
      </c>
      <c r="C213" s="51" t="s">
        <v>987</v>
      </c>
      <c r="D213" s="51" t="s">
        <v>988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2023-11-17T10:47:31Z</dcterms:modified>
  <cp:version>1200.0100.01</cp:version>
</cp:coreProperties>
</file>