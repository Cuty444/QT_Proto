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F366C7A-759A-F34A-95D2-EF25DD03450D}" xr6:coauthVersionLast="47" xr6:coauthVersionMax="47" xr10:uidLastSave="{00000000-0000-0000-0000-000000000000}"/>
  <bookViews>
    <workbookView xWindow="-30240" yWindow="2060" windowWidth="30240" windowHeight="18880" firstSheet="9" activeTab="1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16" l="1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3" i="16"/>
  <c r="B73" i="16" s="1"/>
  <c r="I72" i="16"/>
  <c r="B72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62" i="16"/>
  <c r="B62" i="16" s="1"/>
  <c r="I63" i="16"/>
  <c r="B63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4" i="16"/>
  <c r="B74" i="16" s="1"/>
  <c r="I75" i="16"/>
  <c r="B75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<sst xmlns="http://schemas.openxmlformats.org/spreadsheetml/2006/main" count="1878" uniqueCount="901">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</sst>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0" totalsRowShown="0" headerRowDxfId="9" dataDxfId="8">
  <autoFilter ref="B2:I160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649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625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642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623</v>
      </c>
      <c r="M12" s="11" t="s">
        <v>624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640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645</v>
      </c>
      <c r="L19" s="16" t="s">
        <v>644</v>
      </c>
      <c r="M19" s="16" t="s">
        <v>646</v>
      </c>
      <c r="N19" s="16" t="s">
        <v>643</v>
      </c>
      <c r="O19" s="16" t="s">
        <v>647</v>
      </c>
      <c r="P19" s="16" t="s">
        <v>648</v>
      </c>
      <c r="Q19" s="16" t="s">
        <v>641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K16" sqref="K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704</v>
      </c>
      <c r="C5" s="8" t="s">
        <v>705</v>
      </c>
      <c r="H5" s="2" t="s">
        <v>650</v>
      </c>
      <c r="N5" s="2" t="s">
        <v>59</v>
      </c>
    </row>
    <row r="6" spans="1:17">
      <c r="B6" s="11" t="s">
        <v>713</v>
      </c>
      <c r="C6" s="11" t="s">
        <v>714</v>
      </c>
      <c r="D6" s="11" t="s">
        <v>790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702</v>
      </c>
      <c r="H11" s="61" t="s">
        <v>622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696</v>
      </c>
      <c r="I12" s="11" t="s">
        <v>697</v>
      </c>
      <c r="J12" s="11" t="s">
        <v>698</v>
      </c>
      <c r="K12" t="s">
        <v>690</v>
      </c>
      <c r="L12" t="s">
        <v>691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824</v>
      </c>
      <c r="I15" t="s">
        <v>692</v>
      </c>
      <c r="J15" t="s">
        <v>693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679</v>
      </c>
      <c r="E17" s="14">
        <f>50/0.8</f>
        <v>62.5</v>
      </c>
      <c r="F17" s="67">
        <v>0</v>
      </c>
    </row>
    <row r="18" spans="1:15" ht="18">
      <c r="A18" s="9"/>
      <c r="B18" s="63" t="s">
        <v>681</v>
      </c>
      <c r="C18" s="9" t="s">
        <v>152</v>
      </c>
      <c r="D18" s="11" t="s">
        <v>682</v>
      </c>
      <c r="E18" s="19">
        <v>100</v>
      </c>
      <c r="F18" s="67">
        <v>0</v>
      </c>
      <c r="H18" t="s">
        <v>694</v>
      </c>
      <c r="I18" t="s">
        <v>695</v>
      </c>
      <c r="J18" s="11" t="s">
        <v>703</v>
      </c>
    </row>
    <row r="19" spans="1:15" ht="18">
      <c r="A19" s="9"/>
      <c r="B19" t="s">
        <v>144</v>
      </c>
      <c r="C19" s="9" t="s">
        <v>141</v>
      </c>
      <c r="D19" s="11" t="s">
        <v>683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701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700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699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684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685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779</v>
      </c>
    </row>
    <row r="43" spans="1:6">
      <c r="B43" s="11" t="s">
        <v>789</v>
      </c>
      <c r="C43" s="11" t="s">
        <v>791</v>
      </c>
      <c r="D43" s="11" t="s">
        <v>792</v>
      </c>
      <c r="E43" s="11" t="s">
        <v>779</v>
      </c>
      <c r="F43" s="11" t="s">
        <v>702</v>
      </c>
    </row>
    <row r="44" spans="1:6" ht="18">
      <c r="B44" s="9" t="s">
        <v>780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781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787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788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779</v>
      </c>
    </row>
    <row r="55" spans="2:6">
      <c r="B55" s="11" t="s">
        <v>806</v>
      </c>
      <c r="C55" t="s">
        <v>808</v>
      </c>
      <c r="D55" s="11" t="s">
        <v>809</v>
      </c>
      <c r="E55" s="11" t="s">
        <v>807</v>
      </c>
      <c r="F55" s="11" t="s">
        <v>702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480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469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479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A12" sqref="A12:XFD1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727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727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727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tabSelected="1"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900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F25" sqref="F25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465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601</v>
      </c>
      <c r="C2" s="64" t="s">
        <v>602</v>
      </c>
      <c r="D2" s="64" t="s">
        <v>603</v>
      </c>
      <c r="E2" s="64" t="s">
        <v>604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527</v>
      </c>
      <c r="R2" s="59" t="s">
        <v>528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620</v>
      </c>
      <c r="Q8" s="57" t="s">
        <v>514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481</v>
      </c>
      <c r="Q9" s="57" t="s">
        <v>515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482</v>
      </c>
      <c r="Q10" s="57" t="s">
        <v>516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483</v>
      </c>
      <c r="Q11" s="57" t="s">
        <v>517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484</v>
      </c>
      <c r="Q12" s="57" t="s">
        <v>530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485</v>
      </c>
      <c r="Q13" s="57" t="s">
        <v>531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486</v>
      </c>
      <c r="Q14" s="57" t="s">
        <v>518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487</v>
      </c>
      <c r="Q15" s="57" t="s">
        <v>533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488</v>
      </c>
      <c r="Q16" s="57" t="s">
        <v>535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489</v>
      </c>
      <c r="Q17" s="57" t="s">
        <v>536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490</v>
      </c>
      <c r="Q18" s="57" t="s">
        <v>537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491</v>
      </c>
      <c r="Q19" s="57" t="s">
        <v>519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492</v>
      </c>
      <c r="Q20" s="57" t="s">
        <v>538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493</v>
      </c>
      <c r="Q21" s="57" t="s">
        <v>520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494</v>
      </c>
      <c r="Q22" s="57" t="s">
        <v>521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495</v>
      </c>
      <c r="Q23" s="57" t="s">
        <v>612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496</v>
      </c>
      <c r="Q24" s="57" t="s">
        <v>522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497</v>
      </c>
      <c r="Q25" s="57" t="s">
        <v>539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502</v>
      </c>
      <c r="Q26" s="57" t="s">
        <v>540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503</v>
      </c>
      <c r="Q27" s="57" t="s">
        <v>617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498</v>
      </c>
      <c r="Q28" s="57" t="s">
        <v>523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499</v>
      </c>
      <c r="Q29" s="57" t="s">
        <v>541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500</v>
      </c>
      <c r="Q30" s="57" t="s">
        <v>524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501</v>
      </c>
      <c r="Q31" s="57" t="s">
        <v>525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473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501</v>
      </c>
      <c r="Q32" s="57" t="s">
        <v>526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504</v>
      </c>
      <c r="Q33" s="57" t="s">
        <v>542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717</v>
      </c>
      <c r="M2" s="71" t="s">
        <v>719</v>
      </c>
      <c r="N2" s="71" t="s">
        <v>718</v>
      </c>
      <c r="O2" s="71" t="s">
        <v>793</v>
      </c>
      <c r="P2" s="71" t="s">
        <v>794</v>
      </c>
      <c r="Q2" s="71" t="s">
        <v>795</v>
      </c>
      <c r="R2" s="71" t="s">
        <v>796</v>
      </c>
      <c r="S2" s="71" t="s">
        <v>797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474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G21" sqref="G21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707</v>
      </c>
      <c r="E1" s="16" t="s">
        <v>708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803</v>
      </c>
      <c r="C2" s="69" t="s">
        <v>686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688</v>
      </c>
      <c r="J2" s="69" t="s">
        <v>687</v>
      </c>
      <c r="K2" s="70" t="s">
        <v>709</v>
      </c>
      <c r="L2" s="69" t="s">
        <v>706</v>
      </c>
      <c r="M2" s="69" t="s">
        <v>716</v>
      </c>
      <c r="N2" s="69" t="s">
        <v>798</v>
      </c>
      <c r="O2" s="69" t="s">
        <v>799</v>
      </c>
      <c r="P2" s="69" t="s">
        <v>689</v>
      </c>
      <c r="Q2" s="69" t="s">
        <v>802</v>
      </c>
      <c r="R2" s="69" t="s">
        <v>805</v>
      </c>
      <c r="S2" s="75" t="s">
        <v>810</v>
      </c>
      <c r="T2" s="69" t="s">
        <v>801</v>
      </c>
      <c r="U2" s="69" t="s">
        <v>800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425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710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425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425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460</v>
      </c>
      <c r="F21">
        <v>0.95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423</v>
      </c>
      <c r="F22">
        <v>1.5</v>
      </c>
      <c r="G22" s="11" t="s">
        <v>414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680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478</v>
      </c>
      <c r="F31">
        <v>2.5</v>
      </c>
      <c r="G31" s="11" t="s">
        <v>507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7" sqref="E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804</v>
      </c>
      <c r="N2" s="74" t="s">
        <v>811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480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464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475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469</v>
      </c>
      <c r="E16" s="20">
        <v>70</v>
      </c>
      <c r="F16" s="22" t="s">
        <v>470</v>
      </c>
      <c r="G16" s="20">
        <v>5</v>
      </c>
      <c r="H16" s="22" t="s">
        <v>471</v>
      </c>
      <c r="I16" s="20">
        <v>18</v>
      </c>
      <c r="J16" s="22" t="s">
        <v>472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0"/>
  <sheetViews>
    <sheetView topLeftCell="A32" zoomScaleNormal="100" zoomScaleSheetLayoutView="100" workbookViewId="0">
      <selection activeCell="D58" sqref="D58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614</v>
      </c>
      <c r="C2" s="9" t="s">
        <v>172</v>
      </c>
      <c r="D2" t="s">
        <v>171</v>
      </c>
      <c r="E2" s="36" t="s">
        <v>544</v>
      </c>
      <c r="F2" s="36" t="s">
        <v>545</v>
      </c>
      <c r="G2" s="36" t="s">
        <v>546</v>
      </c>
      <c r="H2" s="36" t="s">
        <v>547</v>
      </c>
      <c r="I2" s="36" t="s">
        <v>585</v>
      </c>
    </row>
    <row r="3" spans="2:9" ht="18">
      <c r="B3" t="str">
        <f>LocaleTable[[#This Row],['#인덱스제너레이터]]</f>
        <v>UI_Title_Button_Start</v>
      </c>
      <c r="C3" s="53" t="s">
        <v>578</v>
      </c>
      <c r="D3" s="53" t="s">
        <v>571</v>
      </c>
      <c r="E3" s="14" t="s">
        <v>549</v>
      </c>
      <c r="F3" s="14" t="s">
        <v>583</v>
      </c>
      <c r="G3" s="14" t="s">
        <v>575</v>
      </c>
      <c r="H3" s="14" t="s">
        <v>572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579</v>
      </c>
      <c r="D4" s="53" t="s">
        <v>573</v>
      </c>
      <c r="E4" s="14" t="s">
        <v>549</v>
      </c>
      <c r="F4" s="14" t="s">
        <v>583</v>
      </c>
      <c r="G4" s="14" t="s">
        <v>575</v>
      </c>
      <c r="H4" s="14" t="s">
        <v>574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580</v>
      </c>
      <c r="D5" s="53" t="s">
        <v>576</v>
      </c>
      <c r="E5" s="14" t="s">
        <v>549</v>
      </c>
      <c r="F5" s="14" t="s">
        <v>583</v>
      </c>
      <c r="G5" s="56" t="s">
        <v>575</v>
      </c>
      <c r="H5" s="14" t="s">
        <v>577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656</v>
      </c>
      <c r="D6" s="53" t="s">
        <v>651</v>
      </c>
      <c r="E6" s="14" t="s">
        <v>549</v>
      </c>
      <c r="F6" s="14" t="s">
        <v>583</v>
      </c>
      <c r="G6" s="56" t="s">
        <v>575</v>
      </c>
      <c r="H6" s="14" t="s">
        <v>651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747</v>
      </c>
      <c r="D7" s="53" t="s">
        <v>576</v>
      </c>
      <c r="E7" s="14" t="s">
        <v>549</v>
      </c>
      <c r="F7" s="56" t="s">
        <v>574</v>
      </c>
      <c r="G7" s="56" t="s">
        <v>583</v>
      </c>
      <c r="H7" s="14" t="s">
        <v>577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831</v>
      </c>
      <c r="D8" s="53" t="s">
        <v>830</v>
      </c>
      <c r="E8" s="14" t="s">
        <v>549</v>
      </c>
      <c r="F8" s="56" t="s">
        <v>574</v>
      </c>
      <c r="G8" s="56" t="s">
        <v>583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730</v>
      </c>
      <c r="D9" s="53" t="s">
        <v>748</v>
      </c>
      <c r="E9" s="14" t="s">
        <v>549</v>
      </c>
      <c r="F9" s="56" t="s">
        <v>574</v>
      </c>
      <c r="G9" s="56" t="s">
        <v>583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731</v>
      </c>
      <c r="D10" s="53" t="s">
        <v>827</v>
      </c>
      <c r="E10" s="14" t="s">
        <v>549</v>
      </c>
      <c r="F10" s="56" t="s">
        <v>574</v>
      </c>
      <c r="G10" s="56" t="s">
        <v>583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732</v>
      </c>
      <c r="D11" s="53" t="s">
        <v>749</v>
      </c>
      <c r="E11" s="14" t="s">
        <v>549</v>
      </c>
      <c r="F11" s="56" t="s">
        <v>574</v>
      </c>
      <c r="G11" s="56" t="s">
        <v>583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733</v>
      </c>
      <c r="D12" s="53" t="s">
        <v>750</v>
      </c>
      <c r="E12" s="14" t="s">
        <v>549</v>
      </c>
      <c r="F12" s="56" t="s">
        <v>574</v>
      </c>
      <c r="G12" s="56" t="s">
        <v>583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734</v>
      </c>
      <c r="D13" s="53" t="s">
        <v>751</v>
      </c>
      <c r="E13" s="14" t="s">
        <v>549</v>
      </c>
      <c r="F13" s="56" t="s">
        <v>574</v>
      </c>
      <c r="G13" s="56" t="s">
        <v>583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735</v>
      </c>
      <c r="D14" s="53" t="s">
        <v>828</v>
      </c>
      <c r="E14" s="14" t="s">
        <v>549</v>
      </c>
      <c r="F14" s="56" t="s">
        <v>574</v>
      </c>
      <c r="G14" s="56" t="s">
        <v>583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584</v>
      </c>
      <c r="D15" s="53" t="s">
        <v>543</v>
      </c>
      <c r="E15" s="14" t="s">
        <v>549</v>
      </c>
      <c r="F15" s="56" t="s">
        <v>574</v>
      </c>
      <c r="G15" s="56" t="s">
        <v>583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863</v>
      </c>
      <c r="D16" s="83" t="s">
        <v>869</v>
      </c>
      <c r="E16" s="14" t="s">
        <v>876</v>
      </c>
      <c r="F16" s="56" t="s">
        <v>574</v>
      </c>
      <c r="G16" s="56" t="s">
        <v>829</v>
      </c>
      <c r="H16" s="14" t="s">
        <v>869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864</v>
      </c>
      <c r="D17" s="83" t="s">
        <v>870</v>
      </c>
      <c r="E17" s="14" t="s">
        <v>876</v>
      </c>
      <c r="F17" s="56" t="s">
        <v>574</v>
      </c>
      <c r="G17" s="56" t="s">
        <v>829</v>
      </c>
      <c r="H17" s="14" t="s">
        <v>870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865</v>
      </c>
      <c r="D18" s="83" t="s">
        <v>871</v>
      </c>
      <c r="E18" s="14" t="s">
        <v>876</v>
      </c>
      <c r="F18" s="56" t="s">
        <v>574</v>
      </c>
      <c r="G18" s="56" t="s">
        <v>829</v>
      </c>
      <c r="H18" s="14" t="s">
        <v>871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866</v>
      </c>
      <c r="D19" s="83" t="s">
        <v>751</v>
      </c>
      <c r="E19" s="14" t="s">
        <v>876</v>
      </c>
      <c r="F19" s="56" t="s">
        <v>574</v>
      </c>
      <c r="G19" s="56" t="s">
        <v>829</v>
      </c>
      <c r="H19" s="14" t="s">
        <v>877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656</v>
      </c>
      <c r="D20" s="83" t="s">
        <v>651</v>
      </c>
      <c r="E20" s="14" t="s">
        <v>876</v>
      </c>
      <c r="F20" s="56" t="s">
        <v>574</v>
      </c>
      <c r="G20" s="56" t="s">
        <v>829</v>
      </c>
      <c r="H20" s="14" t="s">
        <v>651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867</v>
      </c>
      <c r="D21" s="83" t="s">
        <v>872</v>
      </c>
      <c r="E21" s="14" t="s">
        <v>876</v>
      </c>
      <c r="F21" s="56" t="s">
        <v>574</v>
      </c>
      <c r="G21" s="56" t="s">
        <v>829</v>
      </c>
      <c r="H21" s="14" t="s">
        <v>878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868</v>
      </c>
      <c r="D22" s="83" t="s">
        <v>873</v>
      </c>
      <c r="E22" s="14" t="s">
        <v>876</v>
      </c>
      <c r="F22" s="56" t="s">
        <v>574</v>
      </c>
      <c r="G22" s="56" t="s">
        <v>829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549</v>
      </c>
      <c r="F23" s="56" t="s">
        <v>574</v>
      </c>
      <c r="G23" s="56" t="s">
        <v>736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737</v>
      </c>
      <c r="D24" s="53" t="s">
        <v>825</v>
      </c>
      <c r="E24" s="14" t="s">
        <v>549</v>
      </c>
      <c r="F24" s="56" t="s">
        <v>574</v>
      </c>
      <c r="G24" s="56" t="s">
        <v>736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738</v>
      </c>
      <c r="D25" s="53" t="s">
        <v>826</v>
      </c>
      <c r="E25" s="14" t="s">
        <v>549</v>
      </c>
      <c r="F25" s="56" t="s">
        <v>574</v>
      </c>
      <c r="G25" s="56" t="s">
        <v>736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874</v>
      </c>
      <c r="D26" s="53" t="s">
        <v>875</v>
      </c>
      <c r="E26" s="14" t="s">
        <v>549</v>
      </c>
      <c r="F26" s="56" t="s">
        <v>574</v>
      </c>
      <c r="G26" s="56" t="s">
        <v>736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739</v>
      </c>
      <c r="D27" s="53" t="s">
        <v>752</v>
      </c>
      <c r="E27" s="14" t="s">
        <v>549</v>
      </c>
      <c r="F27" s="56" t="s">
        <v>574</v>
      </c>
      <c r="G27" s="56" t="s">
        <v>736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740</v>
      </c>
      <c r="D28" s="53" t="s">
        <v>753</v>
      </c>
      <c r="E28" s="14" t="s">
        <v>549</v>
      </c>
      <c r="F28" s="56" t="s">
        <v>574</v>
      </c>
      <c r="G28" s="56" t="s">
        <v>736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741</v>
      </c>
      <c r="D29" s="53" t="s">
        <v>754</v>
      </c>
      <c r="E29" s="14" t="s">
        <v>549</v>
      </c>
      <c r="F29" s="56" t="s">
        <v>574</v>
      </c>
      <c r="G29" s="56" t="s">
        <v>736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742</v>
      </c>
      <c r="D30" s="53" t="s">
        <v>755</v>
      </c>
      <c r="E30" s="14" t="s">
        <v>549</v>
      </c>
      <c r="F30" s="56" t="s">
        <v>574</v>
      </c>
      <c r="G30" s="56" t="s">
        <v>736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549</v>
      </c>
      <c r="F31" s="56" t="s">
        <v>574</v>
      </c>
      <c r="G31" s="56" t="s">
        <v>743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761</v>
      </c>
      <c r="D32" s="53" t="s">
        <v>762</v>
      </c>
      <c r="E32" s="14" t="s">
        <v>549</v>
      </c>
      <c r="F32" s="56" t="s">
        <v>574</v>
      </c>
      <c r="G32" s="56" t="s">
        <v>743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744</v>
      </c>
      <c r="D33" s="53" t="s">
        <v>756</v>
      </c>
      <c r="E33" s="14" t="s">
        <v>549</v>
      </c>
      <c r="F33" s="56" t="s">
        <v>574</v>
      </c>
      <c r="G33" s="56" t="s">
        <v>743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765</v>
      </c>
      <c r="D34" s="53" t="s">
        <v>764</v>
      </c>
      <c r="E34" s="14" t="s">
        <v>549</v>
      </c>
      <c r="F34" s="56" t="s">
        <v>574</v>
      </c>
      <c r="G34" s="56" t="s">
        <v>743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766</v>
      </c>
      <c r="D35" s="53" t="s">
        <v>763</v>
      </c>
      <c r="E35" s="14" t="s">
        <v>549</v>
      </c>
      <c r="F35" s="56" t="s">
        <v>574</v>
      </c>
      <c r="G35" s="56" t="s">
        <v>743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745</v>
      </c>
      <c r="D36" s="53" t="s">
        <v>757</v>
      </c>
      <c r="E36" s="14" t="s">
        <v>549</v>
      </c>
      <c r="F36" s="56" t="s">
        <v>574</v>
      </c>
      <c r="G36" s="56" t="s">
        <v>743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759</v>
      </c>
      <c r="D37" s="53" t="s">
        <v>760</v>
      </c>
      <c r="E37" s="14" t="s">
        <v>549</v>
      </c>
      <c r="F37" s="56" t="s">
        <v>574</v>
      </c>
      <c r="G37" s="56" t="s">
        <v>743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746</v>
      </c>
      <c r="D38" s="53" t="s">
        <v>758</v>
      </c>
      <c r="E38" s="14" t="s">
        <v>549</v>
      </c>
      <c r="F38" s="56" t="s">
        <v>574</v>
      </c>
      <c r="G38" s="56" t="s">
        <v>743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656</v>
      </c>
      <c r="D39" s="53" t="s">
        <v>651</v>
      </c>
      <c r="E39" s="14" t="s">
        <v>549</v>
      </c>
      <c r="F39" s="14" t="s">
        <v>651</v>
      </c>
      <c r="G39" s="56" t="s">
        <v>583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658</v>
      </c>
      <c r="D40" s="53" t="s">
        <v>657</v>
      </c>
      <c r="E40" s="14" t="s">
        <v>549</v>
      </c>
      <c r="F40" s="14" t="s">
        <v>651</v>
      </c>
      <c r="G40" s="56" t="s">
        <v>652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659</v>
      </c>
      <c r="D41" s="53" t="s">
        <v>662</v>
      </c>
      <c r="E41" s="14" t="s">
        <v>549</v>
      </c>
      <c r="F41" s="14" t="s">
        <v>651</v>
      </c>
      <c r="G41" s="56" t="s">
        <v>653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660</v>
      </c>
      <c r="D42" s="53" t="s">
        <v>661</v>
      </c>
      <c r="E42" s="14" t="s">
        <v>549</v>
      </c>
      <c r="F42" s="14" t="s">
        <v>651</v>
      </c>
      <c r="G42" s="56" t="s">
        <v>654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663</v>
      </c>
      <c r="D43" s="53" t="s">
        <v>655</v>
      </c>
      <c r="E43" s="14" t="s">
        <v>549</v>
      </c>
      <c r="F43" s="14" t="s">
        <v>651</v>
      </c>
      <c r="G43" s="56" t="s">
        <v>655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665</v>
      </c>
      <c r="D44" s="53" t="s">
        <v>666</v>
      </c>
      <c r="E44" s="14" t="s">
        <v>549</v>
      </c>
      <c r="F44" s="14" t="s">
        <v>651</v>
      </c>
      <c r="G44" s="56" t="s">
        <v>664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667</v>
      </c>
      <c r="D45" s="53" t="s">
        <v>574</v>
      </c>
      <c r="E45" s="14" t="s">
        <v>549</v>
      </c>
      <c r="F45" s="14" t="s">
        <v>651</v>
      </c>
      <c r="G45" s="56" t="s">
        <v>574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584</v>
      </c>
      <c r="D46" s="53" t="s">
        <v>678</v>
      </c>
      <c r="E46" s="14" t="s">
        <v>549</v>
      </c>
      <c r="F46" s="14" t="s">
        <v>581</v>
      </c>
      <c r="G46" s="14" t="s">
        <v>582</v>
      </c>
      <c r="H46" s="14" t="s">
        <v>678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564</v>
      </c>
      <c r="D47" s="53" t="s">
        <v>550</v>
      </c>
      <c r="E47" s="14" t="s">
        <v>549</v>
      </c>
      <c r="F47" s="14" t="s">
        <v>581</v>
      </c>
      <c r="G47" s="14" t="s">
        <v>582</v>
      </c>
      <c r="H47" s="14" t="s">
        <v>551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83" t="s">
        <v>881</v>
      </c>
      <c r="D48" s="83" t="s">
        <v>893</v>
      </c>
      <c r="E48" s="14" t="s">
        <v>549</v>
      </c>
      <c r="F48" s="14" t="s">
        <v>581</v>
      </c>
      <c r="G48" s="14" t="s">
        <v>882</v>
      </c>
      <c r="H48" s="14"/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83" t="s">
        <v>886</v>
      </c>
      <c r="D49" s="83" t="s">
        <v>892</v>
      </c>
      <c r="E49" s="14" t="s">
        <v>549</v>
      </c>
      <c r="F49" s="14" t="s">
        <v>581</v>
      </c>
      <c r="G49" s="14" t="s">
        <v>882</v>
      </c>
      <c r="H49" s="14" t="s">
        <v>358</v>
      </c>
      <c r="I49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83" t="s">
        <v>887</v>
      </c>
      <c r="D50" s="83" t="s">
        <v>883</v>
      </c>
      <c r="E50" s="14" t="s">
        <v>549</v>
      </c>
      <c r="F50" s="14" t="s">
        <v>581</v>
      </c>
      <c r="G50" s="14" t="s">
        <v>882</v>
      </c>
      <c r="H50" s="14" t="s">
        <v>883</v>
      </c>
      <c r="I50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83" t="s">
        <v>888</v>
      </c>
      <c r="D51" s="83" t="s">
        <v>884</v>
      </c>
      <c r="E51" s="14" t="s">
        <v>549</v>
      </c>
      <c r="F51" s="14" t="s">
        <v>581</v>
      </c>
      <c r="G51" s="14" t="s">
        <v>882</v>
      </c>
      <c r="H51" s="14" t="s">
        <v>884</v>
      </c>
      <c r="I51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83" t="s">
        <v>889</v>
      </c>
      <c r="D52" s="83" t="s">
        <v>891</v>
      </c>
      <c r="E52" s="14" t="s">
        <v>549</v>
      </c>
      <c r="F52" s="14" t="s">
        <v>581</v>
      </c>
      <c r="G52" s="14" t="s">
        <v>882</v>
      </c>
      <c r="H52" s="14" t="s">
        <v>885</v>
      </c>
      <c r="I5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83" t="s">
        <v>890</v>
      </c>
      <c r="D53" s="83" t="s">
        <v>668</v>
      </c>
      <c r="E53" s="14" t="s">
        <v>549</v>
      </c>
      <c r="F53" s="14" t="s">
        <v>581</v>
      </c>
      <c r="G53" s="14" t="s">
        <v>882</v>
      </c>
      <c r="H53" s="14" t="s">
        <v>668</v>
      </c>
      <c r="I5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565</v>
      </c>
      <c r="D54" s="53" t="s">
        <v>553</v>
      </c>
      <c r="E54" s="19" t="s">
        <v>549</v>
      </c>
      <c r="F54" s="14" t="s">
        <v>581</v>
      </c>
      <c r="G54" s="19" t="s">
        <v>552</v>
      </c>
      <c r="H54" s="14" t="s">
        <v>554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566</v>
      </c>
      <c r="D55" s="53" t="s">
        <v>560</v>
      </c>
      <c r="E55" s="19" t="s">
        <v>549</v>
      </c>
      <c r="F55" s="14" t="s">
        <v>581</v>
      </c>
      <c r="G55" s="19" t="s">
        <v>552</v>
      </c>
      <c r="H55" s="14" t="s">
        <v>561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567</v>
      </c>
      <c r="D56" s="53" t="s">
        <v>557</v>
      </c>
      <c r="E56" s="14" t="s">
        <v>549</v>
      </c>
      <c r="F56" s="14" t="s">
        <v>581</v>
      </c>
      <c r="G56" s="14" t="s">
        <v>552</v>
      </c>
      <c r="H56" s="14" t="s">
        <v>558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569</v>
      </c>
      <c r="D57" s="53" t="s">
        <v>555</v>
      </c>
      <c r="E57" s="14" t="s">
        <v>549</v>
      </c>
      <c r="F57" s="14" t="s">
        <v>581</v>
      </c>
      <c r="G57" s="14" t="s">
        <v>552</v>
      </c>
      <c r="H57" s="14" t="s">
        <v>556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568</v>
      </c>
      <c r="D58" s="53" t="s">
        <v>562</v>
      </c>
      <c r="E58" s="14" t="s">
        <v>549</v>
      </c>
      <c r="F58" s="14" t="s">
        <v>581</v>
      </c>
      <c r="G58" s="14" t="s">
        <v>552</v>
      </c>
      <c r="H58" s="14" t="s">
        <v>563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570</v>
      </c>
      <c r="D59" s="53" t="s">
        <v>167</v>
      </c>
      <c r="E59" s="14" t="s">
        <v>549</v>
      </c>
      <c r="F59" s="14" t="s">
        <v>581</v>
      </c>
      <c r="G59" s="14" t="s">
        <v>552</v>
      </c>
      <c r="H59" s="14" t="s">
        <v>559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677</v>
      </c>
      <c r="D60" s="53" t="s">
        <v>583</v>
      </c>
      <c r="E60" s="14" t="s">
        <v>549</v>
      </c>
      <c r="F60" s="14" t="s">
        <v>674</v>
      </c>
      <c r="G60" s="14" t="s">
        <v>583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676</v>
      </c>
      <c r="D61" s="53" t="s">
        <v>675</v>
      </c>
      <c r="E61" s="14" t="s">
        <v>549</v>
      </c>
      <c r="F61" s="14" t="s">
        <v>674</v>
      </c>
      <c r="G61" s="14" t="s">
        <v>675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UI_Loading_Tip_1</v>
      </c>
      <c r="C62" s="53" t="s">
        <v>894</v>
      </c>
      <c r="D62" s="53" t="s">
        <v>895</v>
      </c>
      <c r="E62" s="14" t="s">
        <v>549</v>
      </c>
      <c r="F62" s="14" t="s">
        <v>720</v>
      </c>
      <c r="G62" s="14" t="s">
        <v>721</v>
      </c>
      <c r="H62" s="14">
        <v>1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3" spans="2:9" ht="18">
      <c r="B63" t="str">
        <f>LocaleTable[[#This Row],['#인덱스제너레이터]]</f>
        <v>UI_Loading_Tip_2</v>
      </c>
      <c r="C63" s="53" t="s">
        <v>722</v>
      </c>
      <c r="D63" s="53" t="s">
        <v>856</v>
      </c>
      <c r="E63" s="14" t="s">
        <v>549</v>
      </c>
      <c r="F63" s="14" t="s">
        <v>720</v>
      </c>
      <c r="G63" s="14" t="s">
        <v>721</v>
      </c>
      <c r="H63" s="14">
        <v>2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4" spans="2:9" ht="18">
      <c r="B64" t="str">
        <f>LocaleTable[[#This Row],['#인덱스제너레이터]]</f>
        <v>UI_Loading_Tip_3</v>
      </c>
      <c r="C64" s="53" t="s">
        <v>723</v>
      </c>
      <c r="D64" s="53" t="s">
        <v>855</v>
      </c>
      <c r="E64" s="14" t="s">
        <v>549</v>
      </c>
      <c r="F64" s="14" t="s">
        <v>720</v>
      </c>
      <c r="G64" s="14" t="s">
        <v>721</v>
      </c>
      <c r="H64" s="14">
        <v>3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5" spans="2:9" ht="18">
      <c r="B65" t="str">
        <f>LocaleTable[[#This Row],['#인덱스제너레이터]]</f>
        <v>UI_Loading_Tip_4</v>
      </c>
      <c r="C65" s="53" t="s">
        <v>724</v>
      </c>
      <c r="D65" s="53" t="s">
        <v>857</v>
      </c>
      <c r="E65" s="14" t="s">
        <v>549</v>
      </c>
      <c r="F65" s="14" t="s">
        <v>720</v>
      </c>
      <c r="G65" s="14" t="s">
        <v>721</v>
      </c>
      <c r="H65" s="14">
        <v>4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6" spans="2:9" ht="18">
      <c r="B66" t="str">
        <f>LocaleTable[[#This Row],['#인덱스제너레이터]]</f>
        <v>UI_Loading_Tip_5</v>
      </c>
      <c r="C66" s="53" t="s">
        <v>858</v>
      </c>
      <c r="D66" s="53" t="s">
        <v>859</v>
      </c>
      <c r="E66" s="14" t="s">
        <v>549</v>
      </c>
      <c r="F66" s="14" t="s">
        <v>720</v>
      </c>
      <c r="G66" s="14" t="s">
        <v>721</v>
      </c>
      <c r="H66" s="14">
        <v>5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7" spans="2:9" ht="18">
      <c r="B67" t="str">
        <f>LocaleTable[[#This Row],['#인덱스제너레이터]]</f>
        <v>UI_Loading_Tip_6</v>
      </c>
      <c r="C67" s="53" t="s">
        <v>725</v>
      </c>
      <c r="D67" s="53" t="s">
        <v>728</v>
      </c>
      <c r="E67" s="14" t="s">
        <v>549</v>
      </c>
      <c r="F67" s="14" t="s">
        <v>720</v>
      </c>
      <c r="G67" s="14" t="s">
        <v>721</v>
      </c>
      <c r="H67" s="14">
        <v>6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8" spans="2:9" ht="18">
      <c r="B68" t="str">
        <f>LocaleTable[[#This Row],['#인덱스제너레이터]]</f>
        <v>UI_Loading_Tip_7</v>
      </c>
      <c r="C68" s="53" t="s">
        <v>726</v>
      </c>
      <c r="D68" s="53" t="s">
        <v>860</v>
      </c>
      <c r="E68" s="14" t="s">
        <v>549</v>
      </c>
      <c r="F68" s="14" t="s">
        <v>720</v>
      </c>
      <c r="G68" s="14" t="s">
        <v>721</v>
      </c>
      <c r="H68" s="14">
        <v>7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9" spans="2:9" ht="18">
      <c r="B69" t="str">
        <f>LocaleTable[[#This Row],['#인덱스제너레이터]]</f>
        <v>UI_Loading_Tip_8</v>
      </c>
      <c r="C69" s="53" t="s">
        <v>727</v>
      </c>
      <c r="D69" s="53" t="s">
        <v>729</v>
      </c>
      <c r="E69" s="14" t="s">
        <v>549</v>
      </c>
      <c r="F69" s="14" t="s">
        <v>720</v>
      </c>
      <c r="G69" s="14" t="s">
        <v>721</v>
      </c>
      <c r="H69" s="14">
        <v>8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0" spans="2:9" ht="18">
      <c r="B70" t="str">
        <f>LocaleTable[[#This Row],['#인덱스제너레이터]]</f>
        <v>UI_Loading_Tip_9</v>
      </c>
      <c r="C70" s="53" t="s">
        <v>862</v>
      </c>
      <c r="D70" s="53" t="s">
        <v>861</v>
      </c>
      <c r="E70" s="14" t="s">
        <v>549</v>
      </c>
      <c r="F70" s="14" t="s">
        <v>720</v>
      </c>
      <c r="G70" s="14" t="s">
        <v>721</v>
      </c>
      <c r="H70" s="14">
        <v>9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1" spans="2:9" ht="18">
      <c r="B71" t="str">
        <f>LocaleTable[[#This Row],['#인덱스제너레이터]]</f>
        <v>UI_Loading_Tip_10</v>
      </c>
      <c r="C71" s="53" t="s">
        <v>898</v>
      </c>
      <c r="D71" s="53" t="s">
        <v>899</v>
      </c>
      <c r="E71" s="14" t="s">
        <v>549</v>
      </c>
      <c r="F71" s="14" t="s">
        <v>720</v>
      </c>
      <c r="G71" s="14" t="s">
        <v>721</v>
      </c>
      <c r="H71" s="14">
        <v>10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2" spans="2:9" ht="18">
      <c r="B72" t="str">
        <f>LocaleTable[[#This Row],['#인덱스제너레이터]]</f>
        <v>UI_Loading_Tip_11</v>
      </c>
      <c r="C72" s="53" t="s">
        <v>896</v>
      </c>
      <c r="D72" s="53" t="s">
        <v>897</v>
      </c>
      <c r="E72" s="14" t="s">
        <v>549</v>
      </c>
      <c r="F72" s="14" t="s">
        <v>720</v>
      </c>
      <c r="G72" s="14" t="s">
        <v>721</v>
      </c>
      <c r="H72" s="14">
        <v>11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3" spans="2:9" ht="18">
      <c r="B73" t="str">
        <f>LocaleTable[[#This Row],['#인덱스제너레이터]]</f>
        <v>UI_Loading_Tip_12</v>
      </c>
      <c r="C73" s="53" t="s">
        <v>879</v>
      </c>
      <c r="D73" s="53" t="s">
        <v>880</v>
      </c>
      <c r="E73" s="14" t="s">
        <v>549</v>
      </c>
      <c r="F73" s="14" t="s">
        <v>720</v>
      </c>
      <c r="G73" s="14" t="s">
        <v>721</v>
      </c>
      <c r="H73" s="14">
        <v>12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4" spans="2:9" ht="18">
      <c r="B74" t="str">
        <f>LocaleTable[[#This Row],['#인덱스제너레이터]]</f>
        <v>UI_Boss_Dulahan_Title</v>
      </c>
      <c r="C74" s="53" t="s">
        <v>670</v>
      </c>
      <c r="D74" s="53" t="s">
        <v>673</v>
      </c>
      <c r="E74" s="14" t="s">
        <v>549</v>
      </c>
      <c r="F74" s="14" t="s">
        <v>668</v>
      </c>
      <c r="G74" s="14" t="s">
        <v>669</v>
      </c>
      <c r="H74" s="14" t="s">
        <v>583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5" spans="2:9" ht="18">
      <c r="B75" t="str">
        <f>LocaleTable[[#This Row],['#인덱스제너레이터]]</f>
        <v>UI_Boss_Dulahan_Name</v>
      </c>
      <c r="C75" s="53" t="s">
        <v>671</v>
      </c>
      <c r="D75" s="53" t="s">
        <v>672</v>
      </c>
      <c r="E75" s="14" t="s">
        <v>549</v>
      </c>
      <c r="F75" s="14" t="s">
        <v>668</v>
      </c>
      <c r="G75" s="14" t="s">
        <v>669</v>
      </c>
      <c r="H75" s="14" t="s">
        <v>338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6" spans="2:9" ht="18">
      <c r="B76" t="str">
        <f>LocaleTable[[#This Row],['#인덱스제너레이터]]</f>
        <v>Item_Name_2000</v>
      </c>
      <c r="C76" s="53" t="s">
        <v>219</v>
      </c>
      <c r="D76" s="53" t="s">
        <v>514</v>
      </c>
      <c r="E76" s="14" t="s">
        <v>543</v>
      </c>
      <c r="F76" s="14" t="s">
        <v>338</v>
      </c>
      <c r="G76" s="19">
        <v>2000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7" spans="2:9" ht="18">
      <c r="B77" t="str">
        <f>LocaleTable[[#This Row],['#인덱스제너레이터]]</f>
        <v>Item_Name_2001</v>
      </c>
      <c r="C77" s="53" t="s">
        <v>100</v>
      </c>
      <c r="D77" s="53" t="s">
        <v>586</v>
      </c>
      <c r="E77" s="14" t="s">
        <v>543</v>
      </c>
      <c r="F77" s="14" t="s">
        <v>338</v>
      </c>
      <c r="G77" s="19">
        <v>2001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8" spans="2:9" ht="18">
      <c r="B78" t="str">
        <f>LocaleTable[[#This Row],['#인덱스제너레이터]]</f>
        <v>Item_Name_2002</v>
      </c>
      <c r="C78" s="53" t="s">
        <v>103</v>
      </c>
      <c r="D78" s="53" t="s">
        <v>516</v>
      </c>
      <c r="E78" s="14" t="s">
        <v>543</v>
      </c>
      <c r="F78" s="14" t="s">
        <v>338</v>
      </c>
      <c r="G78" s="19">
        <v>2002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9" spans="2:9" ht="18">
      <c r="B79" t="str">
        <f>LocaleTable[[#This Row],['#인덱스제너레이터]]</f>
        <v>Item_Name_2003</v>
      </c>
      <c r="C79" s="53" t="s">
        <v>102</v>
      </c>
      <c r="D79" s="53" t="s">
        <v>587</v>
      </c>
      <c r="E79" s="14" t="s">
        <v>543</v>
      </c>
      <c r="F79" s="14" t="s">
        <v>338</v>
      </c>
      <c r="G79" s="19">
        <v>2003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0" spans="2:9" ht="18">
      <c r="B80" t="str">
        <f>LocaleTable[[#This Row],['#인덱스제너레이터]]</f>
        <v>Item_Name_2004</v>
      </c>
      <c r="C80" s="53" t="s">
        <v>98</v>
      </c>
      <c r="D80" s="53" t="s">
        <v>529</v>
      </c>
      <c r="E80" s="14" t="s">
        <v>543</v>
      </c>
      <c r="F80" s="14" t="s">
        <v>338</v>
      </c>
      <c r="G80" s="19">
        <v>2004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1" spans="2:9" ht="18">
      <c r="B81" t="str">
        <f>LocaleTable[[#This Row],['#인덱스제너레이터]]</f>
        <v>Item_Name_2005</v>
      </c>
      <c r="C81" s="53" t="s">
        <v>104</v>
      </c>
      <c r="D81" s="53" t="s">
        <v>598</v>
      </c>
      <c r="E81" s="14" t="s">
        <v>543</v>
      </c>
      <c r="F81" s="14" t="s">
        <v>338</v>
      </c>
      <c r="G81" s="19">
        <v>2005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2" spans="2:9" ht="18">
      <c r="B82" t="str">
        <f>LocaleTable[[#This Row],['#인덱스제너레이터]]</f>
        <v>Item_Name_3000</v>
      </c>
      <c r="C82" s="53" t="s">
        <v>36</v>
      </c>
      <c r="D82" s="53" t="s">
        <v>518</v>
      </c>
      <c r="E82" s="14" t="s">
        <v>543</v>
      </c>
      <c r="F82" s="14" t="s">
        <v>338</v>
      </c>
      <c r="G82" s="19">
        <v>3000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3" spans="2:9" ht="18">
      <c r="B83" t="str">
        <f>LocaleTable[[#This Row],['#인덱스제너레이터]]</f>
        <v>Item_Name_3001</v>
      </c>
      <c r="C83" s="53" t="s">
        <v>241</v>
      </c>
      <c r="D83" s="53" t="s">
        <v>532</v>
      </c>
      <c r="E83" s="14" t="s">
        <v>543</v>
      </c>
      <c r="F83" s="14" t="s">
        <v>338</v>
      </c>
      <c r="G83" s="19">
        <v>3001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4" spans="2:9" ht="18">
      <c r="B84" t="str">
        <f>LocaleTable[[#This Row],['#인덱스제너레이터]]</f>
        <v>Item_Name_3002</v>
      </c>
      <c r="C84" s="53" t="s">
        <v>38</v>
      </c>
      <c r="D84" s="53" t="s">
        <v>534</v>
      </c>
      <c r="E84" s="14" t="s">
        <v>543</v>
      </c>
      <c r="F84" s="14" t="s">
        <v>338</v>
      </c>
      <c r="G84" s="19">
        <v>3002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5" spans="2:9" ht="18">
      <c r="B85" t="str">
        <f>LocaleTable[[#This Row],['#인덱스제너레이터]]</f>
        <v>Item_Name_3003</v>
      </c>
      <c r="C85" s="53" t="s">
        <v>216</v>
      </c>
      <c r="D85" s="53" t="s">
        <v>588</v>
      </c>
      <c r="E85" s="14" t="s">
        <v>543</v>
      </c>
      <c r="F85" s="14" t="s">
        <v>338</v>
      </c>
      <c r="G85" s="19">
        <v>3003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6" spans="2:9" ht="18">
      <c r="B86" t="str">
        <f>LocaleTable[[#This Row],['#인덱스제너레이터]]</f>
        <v>Item_Name_3004</v>
      </c>
      <c r="C86" s="53" t="s">
        <v>227</v>
      </c>
      <c r="D86" s="53" t="s">
        <v>589</v>
      </c>
      <c r="E86" s="14" t="s">
        <v>543</v>
      </c>
      <c r="F86" s="14" t="s">
        <v>338</v>
      </c>
      <c r="G86" s="19">
        <v>3004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7" spans="2:9" ht="18">
      <c r="B87" t="str">
        <f>LocaleTable[[#This Row],['#인덱스제너레이터]]</f>
        <v>Item_Name_3005</v>
      </c>
      <c r="C87" s="53" t="s">
        <v>106</v>
      </c>
      <c r="D87" s="53" t="s">
        <v>590</v>
      </c>
      <c r="E87" s="14" t="s">
        <v>543</v>
      </c>
      <c r="F87" s="14" t="s">
        <v>338</v>
      </c>
      <c r="G87" s="19">
        <v>3005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8" spans="2:9" ht="18">
      <c r="B88" t="str">
        <f>LocaleTable[[#This Row],['#인덱스제너레이터]]</f>
        <v>Item_Name_3006</v>
      </c>
      <c r="C88" s="54" t="s">
        <v>375</v>
      </c>
      <c r="D88" s="53" t="s">
        <v>591</v>
      </c>
      <c r="E88" s="14" t="s">
        <v>543</v>
      </c>
      <c r="F88" s="14" t="s">
        <v>338</v>
      </c>
      <c r="G88" s="19">
        <v>3006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9" spans="2:9" ht="18">
      <c r="B89" t="str">
        <f>LocaleTable[[#This Row],['#인덱스제너레이터]]</f>
        <v>Item_Name_4000</v>
      </c>
      <c r="C89" s="53" t="s">
        <v>101</v>
      </c>
      <c r="D89" s="53" t="s">
        <v>592</v>
      </c>
      <c r="E89" s="14" t="s">
        <v>543</v>
      </c>
      <c r="F89" s="14" t="s">
        <v>338</v>
      </c>
      <c r="G89" s="19">
        <v>4000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0" spans="2:9" ht="18">
      <c r="B90" t="str">
        <f>LocaleTable[[#This Row],['#인덱스제너레이터]]</f>
        <v>Item_Name_4001</v>
      </c>
      <c r="C90" s="53" t="s">
        <v>97</v>
      </c>
      <c r="D90" s="53" t="s">
        <v>521</v>
      </c>
      <c r="E90" s="14" t="s">
        <v>543</v>
      </c>
      <c r="F90" s="14" t="s">
        <v>338</v>
      </c>
      <c r="G90" s="19">
        <v>4001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1" spans="2:9" ht="18">
      <c r="B91" t="str">
        <f>LocaleTable[[#This Row],['#인덱스제너레이터]]</f>
        <v>Item_Name_4002</v>
      </c>
      <c r="C91" s="53" t="s">
        <v>225</v>
      </c>
      <c r="D91" s="53" t="s">
        <v>613</v>
      </c>
      <c r="E91" s="14" t="s">
        <v>543</v>
      </c>
      <c r="F91" s="14" t="s">
        <v>338</v>
      </c>
      <c r="G91" s="19">
        <v>4002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2" spans="2:9" ht="18">
      <c r="B92" t="str">
        <f>LocaleTable[[#This Row],['#인덱스제너레이터]]</f>
        <v>Item_Name_4003</v>
      </c>
      <c r="C92" s="53" t="s">
        <v>217</v>
      </c>
      <c r="D92" s="53" t="s">
        <v>599</v>
      </c>
      <c r="E92" s="14" t="s">
        <v>543</v>
      </c>
      <c r="F92" s="14" t="s">
        <v>338</v>
      </c>
      <c r="G92" s="19">
        <v>4003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3" spans="2:9" ht="18">
      <c r="B93" t="str">
        <f>LocaleTable[[#This Row],['#인덱스제너레이터]]</f>
        <v>Item_Name_4004</v>
      </c>
      <c r="C93" s="53" t="s">
        <v>380</v>
      </c>
      <c r="D93" s="53" t="s">
        <v>593</v>
      </c>
      <c r="E93" s="14" t="s">
        <v>543</v>
      </c>
      <c r="F93" s="14" t="s">
        <v>338</v>
      </c>
      <c r="G93" s="19">
        <v>4004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4" spans="2:9" ht="18">
      <c r="B94" t="str">
        <f>LocaleTable[[#This Row],['#인덱스제너레이터]]</f>
        <v>Item_Name_4005</v>
      </c>
      <c r="C94" s="53" t="s">
        <v>458</v>
      </c>
      <c r="D94" s="53" t="s">
        <v>594</v>
      </c>
      <c r="E94" s="14" t="s">
        <v>543</v>
      </c>
      <c r="F94" s="14" t="s">
        <v>338</v>
      </c>
      <c r="G94" s="19">
        <v>4005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5" spans="2:9" ht="18">
      <c r="B95" t="str">
        <f>LocaleTable[[#This Row],['#인덱스제너레이터]]</f>
        <v>Item_Name_4006</v>
      </c>
      <c r="C95" s="53" t="s">
        <v>462</v>
      </c>
      <c r="D95" s="53" t="s">
        <v>832</v>
      </c>
      <c r="E95" s="14" t="s">
        <v>543</v>
      </c>
      <c r="F95" s="14" t="s">
        <v>338</v>
      </c>
      <c r="G95" s="19">
        <v>4006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6" spans="2:9" ht="18">
      <c r="B96" t="str">
        <f>LocaleTable[[#This Row],['#인덱스제너레이터]]</f>
        <v>Item_Name_10000</v>
      </c>
      <c r="C96" s="53" t="s">
        <v>371</v>
      </c>
      <c r="D96" s="53" t="s">
        <v>595</v>
      </c>
      <c r="E96" s="14" t="s">
        <v>543</v>
      </c>
      <c r="F96" s="14" t="s">
        <v>338</v>
      </c>
      <c r="G96" s="19">
        <v>10000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7" spans="2:9" ht="18">
      <c r="B97" t="str">
        <f>LocaleTable[[#This Row],['#인덱스제너레이터]]</f>
        <v>Item_Name_10001</v>
      </c>
      <c r="C97" s="54" t="s">
        <v>385</v>
      </c>
      <c r="D97" s="53" t="s">
        <v>596</v>
      </c>
      <c r="E97" s="14" t="s">
        <v>543</v>
      </c>
      <c r="F97" s="14" t="s">
        <v>338</v>
      </c>
      <c r="G97" s="19">
        <v>10001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8" spans="2:9" ht="18">
      <c r="B98" t="str">
        <f>LocaleTable[[#This Row],['#인덱스제너레이터]]</f>
        <v>Item_Name_10002</v>
      </c>
      <c r="C98" s="54" t="s">
        <v>511</v>
      </c>
      <c r="D98" s="53" t="s">
        <v>524</v>
      </c>
      <c r="E98" s="14" t="s">
        <v>543</v>
      </c>
      <c r="F98" s="14" t="s">
        <v>338</v>
      </c>
      <c r="G98" s="19">
        <v>10002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9" spans="2:9" ht="18">
      <c r="B99" t="str">
        <f>LocaleTable[[#This Row],['#인덱스제너레이터]]</f>
        <v>Item_Name_10003</v>
      </c>
      <c r="C99" s="54" t="s">
        <v>373</v>
      </c>
      <c r="D99" s="53" t="s">
        <v>597</v>
      </c>
      <c r="E99" s="14" t="s">
        <v>543</v>
      </c>
      <c r="F99" s="14" t="s">
        <v>338</v>
      </c>
      <c r="G99" s="19">
        <v>10003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0" spans="2:9" ht="18">
      <c r="B100" t="str">
        <f>LocaleTable[[#This Row],['#인덱스제너레이터]]</f>
        <v>Item_Name_10004</v>
      </c>
      <c r="C100" s="53" t="s">
        <v>466</v>
      </c>
      <c r="D100" s="53" t="s">
        <v>526</v>
      </c>
      <c r="E100" s="14" t="s">
        <v>543</v>
      </c>
      <c r="F100" s="14" t="s">
        <v>338</v>
      </c>
      <c r="G100" s="19">
        <v>10004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1" spans="2:9" ht="18">
      <c r="B101" t="str">
        <f>LocaleTable[[#This Row],['#인덱스제너레이터]]</f>
        <v>Item_Name_10005</v>
      </c>
      <c r="C101" s="53" t="s">
        <v>476</v>
      </c>
      <c r="D101" s="53" t="s">
        <v>833</v>
      </c>
      <c r="E101" s="14" t="s">
        <v>543</v>
      </c>
      <c r="F101" s="14" t="s">
        <v>338</v>
      </c>
      <c r="G101" s="19">
        <v>10005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2" spans="2:9" ht="18">
      <c r="B102" t="str">
        <f>LocaleTable[[#This Row],['#인덱스제너레이터]]</f>
        <v>Item_Desc_2000</v>
      </c>
      <c r="C102" s="53" t="s">
        <v>416</v>
      </c>
      <c r="D102" s="53" t="s">
        <v>605</v>
      </c>
      <c r="E102" s="14" t="s">
        <v>543</v>
      </c>
      <c r="F102" s="14" t="s">
        <v>548</v>
      </c>
      <c r="G102" s="19">
        <v>2000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3" spans="2:9" ht="18">
      <c r="B103" t="str">
        <f>LocaleTable[[#This Row],['#인덱스제너레이터]]</f>
        <v>Item_Desc_2001</v>
      </c>
      <c r="C103" s="54" t="s">
        <v>248</v>
      </c>
      <c r="D103" s="53" t="s">
        <v>621</v>
      </c>
      <c r="E103" s="14" t="s">
        <v>543</v>
      </c>
      <c r="F103" s="14" t="s">
        <v>548</v>
      </c>
      <c r="G103" s="19">
        <v>2001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4" spans="2:9" ht="18">
      <c r="B104" t="str">
        <f>LocaleTable[[#This Row],['#인덱스제너레이터]]</f>
        <v>Item_Desc_2002</v>
      </c>
      <c r="C104" s="54" t="s">
        <v>239</v>
      </c>
      <c r="D104" s="53" t="s">
        <v>606</v>
      </c>
      <c r="E104" s="14" t="s">
        <v>543</v>
      </c>
      <c r="F104" s="14" t="s">
        <v>548</v>
      </c>
      <c r="G104" s="19">
        <v>2002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5" spans="2:9" ht="36">
      <c r="B105" t="str">
        <f>LocaleTable[[#This Row],['#인덱스제너레이터]]</f>
        <v>Item_Desc_2003</v>
      </c>
      <c r="C105" s="53" t="s">
        <v>240</v>
      </c>
      <c r="D105" s="53" t="s">
        <v>767</v>
      </c>
      <c r="E105" s="14" t="s">
        <v>543</v>
      </c>
      <c r="F105" s="14" t="s">
        <v>548</v>
      </c>
      <c r="G105" s="19">
        <v>2003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6" spans="2:9" ht="36">
      <c r="B106" t="str">
        <f>LocaleTable[[#This Row],['#인덱스제너레이터]]</f>
        <v>Item_Desc_2004</v>
      </c>
      <c r="C106" s="55" t="s">
        <v>387</v>
      </c>
      <c r="D106" s="53" t="s">
        <v>607</v>
      </c>
      <c r="E106" s="14" t="s">
        <v>543</v>
      </c>
      <c r="F106" s="14" t="s">
        <v>548</v>
      </c>
      <c r="G106" s="19">
        <v>2004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7" spans="2:9" ht="36">
      <c r="B107" t="str">
        <f>LocaleTable[[#This Row],['#인덱스제너레이터]]</f>
        <v>Item_Desc_2005</v>
      </c>
      <c r="C107" s="53" t="s">
        <v>247</v>
      </c>
      <c r="D107" s="53" t="s">
        <v>768</v>
      </c>
      <c r="E107" s="14" t="s">
        <v>543</v>
      </c>
      <c r="F107" s="14" t="s">
        <v>548</v>
      </c>
      <c r="G107" s="19">
        <v>2005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8" spans="2:9" ht="18">
      <c r="B108" t="str">
        <f>LocaleTable[[#This Row],['#인덱스제너레이터]]</f>
        <v>Item_Desc_3000</v>
      </c>
      <c r="C108" s="55" t="s">
        <v>608</v>
      </c>
      <c r="D108" s="53" t="s">
        <v>769</v>
      </c>
      <c r="E108" s="14" t="s">
        <v>543</v>
      </c>
      <c r="F108" s="14" t="s">
        <v>548</v>
      </c>
      <c r="G108" s="19">
        <v>3000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9" spans="2:9" ht="36">
      <c r="B109" t="str">
        <f>LocaleTable[[#This Row],['#인덱스제너레이터]]</f>
        <v>Item_Desc_3001</v>
      </c>
      <c r="C109" s="54" t="s">
        <v>250</v>
      </c>
      <c r="D109" s="53" t="s">
        <v>770</v>
      </c>
      <c r="E109" s="14" t="s">
        <v>543</v>
      </c>
      <c r="F109" s="14" t="s">
        <v>548</v>
      </c>
      <c r="G109" s="19">
        <v>3001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0" spans="2:9" ht="36">
      <c r="B110" t="str">
        <f>LocaleTable[[#This Row],['#인덱스제너레이터]]</f>
        <v>Item_Desc_3002</v>
      </c>
      <c r="C110" s="54" t="s">
        <v>388</v>
      </c>
      <c r="D110" s="53" t="s">
        <v>771</v>
      </c>
      <c r="E110" s="14" t="s">
        <v>543</v>
      </c>
      <c r="F110" s="14" t="s">
        <v>548</v>
      </c>
      <c r="G110" s="19">
        <v>3002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1" spans="2:9" ht="36">
      <c r="B111" t="str">
        <f>LocaleTable[[#This Row],['#인덱스제너레이터]]</f>
        <v>Item_Desc_3003</v>
      </c>
      <c r="C111" s="54" t="s">
        <v>242</v>
      </c>
      <c r="D111" s="53" t="s">
        <v>772</v>
      </c>
      <c r="E111" s="14" t="s">
        <v>543</v>
      </c>
      <c r="F111" s="14" t="s">
        <v>548</v>
      </c>
      <c r="G111" s="19">
        <v>3003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2" spans="2:9" ht="18">
      <c r="B112" t="str">
        <f>LocaleTable[[#This Row],['#인덱스제너레이터]]</f>
        <v>Item_Desc_3004</v>
      </c>
      <c r="C112" s="54" t="s">
        <v>244</v>
      </c>
      <c r="D112" s="53" t="s">
        <v>778</v>
      </c>
      <c r="E112" s="14" t="s">
        <v>543</v>
      </c>
      <c r="F112" s="14" t="s">
        <v>548</v>
      </c>
      <c r="G112" s="19">
        <v>3004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3" spans="2:9" ht="36">
      <c r="B113" t="str">
        <f>LocaleTable[[#This Row],['#인덱스제너레이터]]</f>
        <v>Item_Desc_3005</v>
      </c>
      <c r="C113" s="54" t="s">
        <v>600</v>
      </c>
      <c r="D113" s="53" t="s">
        <v>609</v>
      </c>
      <c r="E113" s="14" t="s">
        <v>543</v>
      </c>
      <c r="F113" s="14" t="s">
        <v>548</v>
      </c>
      <c r="G113" s="19">
        <v>3005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4" spans="2:9" ht="18">
      <c r="B114" t="str">
        <f>LocaleTable[[#This Row],['#인덱스제너레이터]]</f>
        <v>Item_Desc_3006</v>
      </c>
      <c r="C114" s="54" t="s">
        <v>376</v>
      </c>
      <c r="D114" s="53" t="s">
        <v>610</v>
      </c>
      <c r="E114" s="14" t="s">
        <v>543</v>
      </c>
      <c r="F114" s="14" t="s">
        <v>548</v>
      </c>
      <c r="G114" s="19">
        <v>3006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5" spans="2:9" ht="36">
      <c r="B115" t="str">
        <f>LocaleTable[[#This Row],['#인덱스제너레이터]]</f>
        <v>Item_Desc_4000</v>
      </c>
      <c r="C115" s="53" t="s">
        <v>246</v>
      </c>
      <c r="D115" s="53" t="s">
        <v>777</v>
      </c>
      <c r="E115" s="14" t="s">
        <v>543</v>
      </c>
      <c r="F115" s="14" t="s">
        <v>548</v>
      </c>
      <c r="G115" s="19">
        <v>4000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6" spans="2:9" ht="36">
      <c r="B116" t="str">
        <f>LocaleTable[[#This Row],['#인덱스제너레이터]]</f>
        <v>Item_Desc_4001</v>
      </c>
      <c r="C116" s="53" t="s">
        <v>391</v>
      </c>
      <c r="D116" s="53" t="s">
        <v>611</v>
      </c>
      <c r="E116" s="14" t="s">
        <v>543</v>
      </c>
      <c r="F116" s="14" t="s">
        <v>548</v>
      </c>
      <c r="G116" s="19">
        <v>4001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7" spans="2:9" ht="36">
      <c r="B117" t="str">
        <f>LocaleTable[[#This Row],['#인덱스제너레이터]]</f>
        <v>Item_Desc_4002</v>
      </c>
      <c r="C117" s="54" t="s">
        <v>245</v>
      </c>
      <c r="D117" s="53" t="s">
        <v>773</v>
      </c>
      <c r="E117" s="14" t="s">
        <v>543</v>
      </c>
      <c r="F117" s="14" t="s">
        <v>548</v>
      </c>
      <c r="G117" s="19">
        <v>4002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8" spans="2:9" ht="36">
      <c r="B118" t="str">
        <f>LocaleTable[[#This Row],['#인덱스제너레이터]]</f>
        <v>Item_Desc_4003</v>
      </c>
      <c r="C118" s="53" t="s">
        <v>243</v>
      </c>
      <c r="D118" s="53" t="s">
        <v>616</v>
      </c>
      <c r="E118" s="14" t="s">
        <v>543</v>
      </c>
      <c r="F118" s="14" t="s">
        <v>548</v>
      </c>
      <c r="G118" s="19">
        <v>4003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9" spans="2:9" ht="36">
      <c r="B119" t="str">
        <f>LocaleTable[[#This Row],['#인덱스제너레이터]]</f>
        <v>Item_Desc_4004</v>
      </c>
      <c r="C119" s="53" t="s">
        <v>249</v>
      </c>
      <c r="D119" s="53" t="s">
        <v>615</v>
      </c>
      <c r="E119" s="14" t="s">
        <v>543</v>
      </c>
      <c r="F119" s="14" t="s">
        <v>548</v>
      </c>
      <c r="G119" s="19">
        <v>4004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0" spans="2:9" ht="18">
      <c r="B120" t="str">
        <f>LocaleTable[[#This Row],['#인덱스제너레이터]]</f>
        <v>Item_Desc_4005</v>
      </c>
      <c r="C120" s="53" t="s">
        <v>851</v>
      </c>
      <c r="D120" s="53" t="s">
        <v>774</v>
      </c>
      <c r="E120" s="14" t="s">
        <v>543</v>
      </c>
      <c r="F120" s="14" t="s">
        <v>548</v>
      </c>
      <c r="G120" s="19">
        <v>4005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1" spans="2:9" ht="36">
      <c r="B121" t="str">
        <f>LocaleTable[[#This Row],['#인덱스제너레이터]]</f>
        <v>Item_Desc_4006</v>
      </c>
      <c r="C121" s="53" t="s">
        <v>463</v>
      </c>
      <c r="D121" s="53" t="s">
        <v>618</v>
      </c>
      <c r="E121" s="14" t="s">
        <v>543</v>
      </c>
      <c r="F121" s="14" t="s">
        <v>548</v>
      </c>
      <c r="G121" s="19">
        <v>4006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2" spans="2:9" ht="36">
      <c r="B122" t="str">
        <f>LocaleTable[[#This Row],['#인덱스제너레이터]]</f>
        <v>Item_Desc_10000</v>
      </c>
      <c r="C122" s="53" t="s">
        <v>398</v>
      </c>
      <c r="D122" s="53" t="s">
        <v>775</v>
      </c>
      <c r="E122" s="14" t="s">
        <v>543</v>
      </c>
      <c r="F122" s="14" t="s">
        <v>548</v>
      </c>
      <c r="G122" s="19">
        <v>10000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3" spans="2:9" ht="18">
      <c r="B123" t="str">
        <f>LocaleTable[[#This Row],['#인덱스제너레이터]]</f>
        <v>Item_Desc_10001</v>
      </c>
      <c r="C123" s="54" t="s">
        <v>389</v>
      </c>
      <c r="D123" s="53" t="s">
        <v>619</v>
      </c>
      <c r="E123" s="14" t="s">
        <v>543</v>
      </c>
      <c r="F123" s="14" t="s">
        <v>548</v>
      </c>
      <c r="G123" s="19">
        <v>10001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4" spans="2:9" ht="36">
      <c r="B124" t="str">
        <f>LocaleTable[[#This Row],['#인덱스제너레이터]]</f>
        <v>Item_Desc_10002</v>
      </c>
      <c r="C124" s="54" t="s">
        <v>512</v>
      </c>
      <c r="D124" s="55" t="s">
        <v>776</v>
      </c>
      <c r="E124" s="14" t="s">
        <v>543</v>
      </c>
      <c r="F124" s="14" t="s">
        <v>548</v>
      </c>
      <c r="G124" s="19">
        <v>10002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5" spans="2:9" ht="36">
      <c r="B125" t="str">
        <f>LocaleTable[[#This Row],['#인덱스제너레이터]]</f>
        <v>Item_Desc_10003</v>
      </c>
      <c r="C125" s="54" t="s">
        <v>386</v>
      </c>
      <c r="D125" s="53" t="s">
        <v>844</v>
      </c>
      <c r="E125" s="14" t="s">
        <v>543</v>
      </c>
      <c r="F125" s="14" t="s">
        <v>548</v>
      </c>
      <c r="G125" s="19">
        <v>10003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6" spans="2:9" ht="18">
      <c r="B126" t="str">
        <f>LocaleTable[[#This Row],['#인덱스제너레이터]]</f>
        <v>Item_Desc_10004</v>
      </c>
      <c r="C126" s="53" t="s">
        <v>467</v>
      </c>
      <c r="D126" s="53" t="s">
        <v>626</v>
      </c>
      <c r="E126" s="14" t="s">
        <v>543</v>
      </c>
      <c r="F126" s="14" t="s">
        <v>548</v>
      </c>
      <c r="G126" s="19">
        <v>10004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7" spans="2:9" ht="18">
      <c r="B127" t="str">
        <f>LocaleTable[[#This Row],['#인덱스제너레이터]]</f>
        <v>Item_Desc_10005</v>
      </c>
      <c r="C127" s="53" t="s">
        <v>477</v>
      </c>
      <c r="D127" s="53" t="s">
        <v>627</v>
      </c>
      <c r="E127" s="14" t="s">
        <v>543</v>
      </c>
      <c r="F127" s="14" t="s">
        <v>548</v>
      </c>
      <c r="G127" s="19">
        <v>10005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8" spans="2:9" ht="18">
      <c r="B128" t="str">
        <f>LocaleTable[[#This Row],['#인덱스제너레이터]]</f>
        <v>Item_PlusDesc_2000</v>
      </c>
      <c r="C128" s="54" t="s">
        <v>421</v>
      </c>
      <c r="D128" s="53" t="s">
        <v>628</v>
      </c>
      <c r="E128" s="14" t="s">
        <v>543</v>
      </c>
      <c r="F128" s="14" t="s">
        <v>365</v>
      </c>
      <c r="G128" s="19">
        <v>2000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9" spans="2:9" ht="18">
      <c r="B129" t="str">
        <f>LocaleTable[[#This Row],['#인덱스제너레이터]]</f>
        <v>Item_PlusDesc_2001</v>
      </c>
      <c r="C129" s="53" t="s">
        <v>812</v>
      </c>
      <c r="D129" s="53" t="s">
        <v>822</v>
      </c>
      <c r="E129" s="14" t="s">
        <v>543</v>
      </c>
      <c r="F129" s="14" t="s">
        <v>365</v>
      </c>
      <c r="G129" s="19">
        <v>2001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0" spans="2:9" ht="18">
      <c r="B130" t="str">
        <f>LocaleTable[[#This Row],['#인덱스제너레이터]]</f>
        <v>Item_PlusDesc_2002</v>
      </c>
      <c r="C130" s="53" t="s">
        <v>813</v>
      </c>
      <c r="D130" s="53" t="s">
        <v>821</v>
      </c>
      <c r="E130" s="14" t="s">
        <v>543</v>
      </c>
      <c r="F130" s="14" t="s">
        <v>365</v>
      </c>
      <c r="G130" s="19">
        <v>2002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1" spans="2:9" ht="18">
      <c r="B131" t="str">
        <f>LocaleTable[[#This Row],['#인덱스제너레이터]]</f>
        <v>Item_PlusDesc_2003</v>
      </c>
      <c r="C131" s="53" t="s">
        <v>417</v>
      </c>
      <c r="D131" s="53" t="s">
        <v>843</v>
      </c>
      <c r="E131" s="14" t="s">
        <v>543</v>
      </c>
      <c r="F131" s="14" t="s">
        <v>365</v>
      </c>
      <c r="G131" s="19">
        <v>2003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2" spans="2:9" ht="18">
      <c r="B132" t="str">
        <f>LocaleTable[[#This Row],['#인덱스제너레이터]]</f>
        <v>Item_PlusDesc_2004</v>
      </c>
      <c r="C132" s="53" t="s">
        <v>814</v>
      </c>
      <c r="D132" s="53" t="s">
        <v>820</v>
      </c>
      <c r="E132" s="14" t="s">
        <v>543</v>
      </c>
      <c r="F132" s="14" t="s">
        <v>365</v>
      </c>
      <c r="G132" s="19">
        <v>2004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3" spans="2:9" ht="18">
      <c r="B133" t="str">
        <f>LocaleTable[[#This Row],['#인덱스제너레이터]]</f>
        <v>Item_PlusDesc_2005</v>
      </c>
      <c r="C133" s="16" t="s">
        <v>834</v>
      </c>
      <c r="D133" s="53" t="s">
        <v>838</v>
      </c>
      <c r="E133" s="14" t="s">
        <v>543</v>
      </c>
      <c r="F133" s="14" t="s">
        <v>365</v>
      </c>
      <c r="G133" s="19">
        <v>2005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4" spans="2:9" ht="36">
      <c r="B134" t="str">
        <f>LocaleTable[[#This Row],['#인덱스제너레이터]]</f>
        <v>Item_PlusDesc_3000</v>
      </c>
      <c r="C134" s="55" t="s">
        <v>455</v>
      </c>
      <c r="D134" s="53" t="s">
        <v>842</v>
      </c>
      <c r="E134" s="14" t="s">
        <v>543</v>
      </c>
      <c r="F134" s="14" t="s">
        <v>365</v>
      </c>
      <c r="G134" s="19">
        <v>3000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5" spans="2:9" ht="18">
      <c r="B135" t="str">
        <f>LocaleTable[[#This Row],['#인덱스제너레이터]]</f>
        <v>Item_PlusDesc_3001</v>
      </c>
      <c r="C135" s="53" t="s">
        <v>711</v>
      </c>
      <c r="D135" s="53" t="s">
        <v>712</v>
      </c>
      <c r="E135" s="14" t="s">
        <v>543</v>
      </c>
      <c r="F135" s="14" t="s">
        <v>365</v>
      </c>
      <c r="G135" s="19">
        <v>3001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6" spans="2:9" ht="36">
      <c r="B136" t="str">
        <f>LocaleTable[[#This Row],['#인덱스제너레이터]]</f>
        <v>Item_PlusDesc_3002</v>
      </c>
      <c r="C136" s="53" t="s">
        <v>816</v>
      </c>
      <c r="D136" s="53" t="s">
        <v>841</v>
      </c>
      <c r="E136" s="14" t="s">
        <v>543</v>
      </c>
      <c r="F136" s="14" t="s">
        <v>365</v>
      </c>
      <c r="G136" s="19">
        <v>3002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7" spans="2:9" ht="18">
      <c r="B137" t="str">
        <f>LocaleTable[[#This Row],['#인덱스제너레이터]]</f>
        <v>Item_PlusDesc_3003</v>
      </c>
      <c r="C137" s="53" t="s">
        <v>384</v>
      </c>
      <c r="D137" s="53" t="s">
        <v>629</v>
      </c>
      <c r="E137" s="14" t="s">
        <v>543</v>
      </c>
      <c r="F137" s="14" t="s">
        <v>365</v>
      </c>
      <c r="G137" s="19">
        <v>3003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8" spans="2:9" ht="18">
      <c r="B138" t="str">
        <f>LocaleTable[[#This Row],['#인덱스제너레이터]]</f>
        <v>Item_PlusDesc_3004</v>
      </c>
      <c r="C138" s="53" t="s">
        <v>394</v>
      </c>
      <c r="D138" s="53" t="s">
        <v>839</v>
      </c>
      <c r="E138" s="14" t="s">
        <v>543</v>
      </c>
      <c r="F138" s="14" t="s">
        <v>365</v>
      </c>
      <c r="G138" s="19">
        <v>3004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9" spans="2:9" ht="18">
      <c r="B139" t="str">
        <f>LocaleTable[[#This Row],['#인덱스제너레이터]]</f>
        <v>Item_PlusDesc_3005</v>
      </c>
      <c r="C139" s="11" t="s">
        <v>837</v>
      </c>
      <c r="D139" s="53" t="s">
        <v>840</v>
      </c>
      <c r="E139" s="14" t="s">
        <v>543</v>
      </c>
      <c r="F139" s="14" t="s">
        <v>365</v>
      </c>
      <c r="G139" s="19">
        <v>3005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0" spans="2:9" ht="18">
      <c r="B140" t="str">
        <f>LocaleTable[[#This Row],['#인덱스제너레이터]]</f>
        <v>Item_PlusDesc_3006</v>
      </c>
      <c r="C140" s="54" t="s">
        <v>456</v>
      </c>
      <c r="D140" s="53" t="s">
        <v>630</v>
      </c>
      <c r="E140" s="14" t="s">
        <v>543</v>
      </c>
      <c r="F140" s="14" t="s">
        <v>365</v>
      </c>
      <c r="G140" s="19">
        <v>3006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1" spans="2:9" ht="18">
      <c r="B141" t="str">
        <f>LocaleTable[[#This Row],['#인덱스제너레이터]]</f>
        <v>Item_PlusDesc_4000</v>
      </c>
      <c r="C141" s="53" t="s">
        <v>426</v>
      </c>
      <c r="D141" s="53" t="s">
        <v>631</v>
      </c>
      <c r="E141" s="14" t="s">
        <v>543</v>
      </c>
      <c r="F141" s="14" t="s">
        <v>365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2" spans="2:9" ht="36">
      <c r="B142" t="str">
        <f>LocaleTable[[#This Row],['#인덱스제너레이터]]</f>
        <v>Item_PlusDesc_4001</v>
      </c>
      <c r="C142" s="53" t="s">
        <v>817</v>
      </c>
      <c r="D142" s="53" t="s">
        <v>849</v>
      </c>
      <c r="E142" s="14" t="s">
        <v>543</v>
      </c>
      <c r="F142" s="14" t="s">
        <v>365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3" spans="2:9" ht="18">
      <c r="B143" t="str">
        <f>LocaleTable[[#This Row],['#인덱스제너레이터]]</f>
        <v>Item_PlusDesc_4002</v>
      </c>
      <c r="C143" s="53" t="s">
        <v>312</v>
      </c>
      <c r="D143" s="53" t="s">
        <v>632</v>
      </c>
      <c r="E143" s="14" t="s">
        <v>543</v>
      </c>
      <c r="F143" s="14" t="s">
        <v>365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4" spans="2:9" ht="18">
      <c r="B144" t="str">
        <f>LocaleTable[[#This Row],['#인덱스제너레이터]]</f>
        <v>Item_PlusDesc_4003</v>
      </c>
      <c r="C144" s="53" t="s">
        <v>397</v>
      </c>
      <c r="D144" s="53" t="s">
        <v>633</v>
      </c>
      <c r="E144" s="14" t="s">
        <v>543</v>
      </c>
      <c r="F144" s="14" t="s">
        <v>365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5" spans="2:9" ht="18">
      <c r="B145" t="str">
        <f>LocaleTable[[#This Row],['#인덱스제너레이터]]</f>
        <v>Item_PlusDesc_4004</v>
      </c>
      <c r="C145" s="53" t="s">
        <v>459</v>
      </c>
      <c r="D145" s="53" t="s">
        <v>853</v>
      </c>
      <c r="E145" s="14" t="s">
        <v>543</v>
      </c>
      <c r="F145" s="14" t="s">
        <v>365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6" spans="2:9" ht="18">
      <c r="B146" t="str">
        <f>LocaleTable[[#This Row],['#인덱스제너레이터]]</f>
        <v>Item_PlusDesc_4005</v>
      </c>
      <c r="C146" s="53" t="s">
        <v>419</v>
      </c>
      <c r="D146" s="53" t="s">
        <v>852</v>
      </c>
      <c r="E146" s="14" t="s">
        <v>543</v>
      </c>
      <c r="F146" s="14" t="s">
        <v>365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7" spans="2:9" ht="18">
      <c r="B147" t="str">
        <f>LocaleTable[[#This Row],['#인덱스제너레이터]]</f>
        <v>Item_PlusDesc_4006</v>
      </c>
      <c r="C147" s="53" t="s">
        <v>815</v>
      </c>
      <c r="D147" s="53" t="s">
        <v>823</v>
      </c>
      <c r="E147" s="14" t="s">
        <v>543</v>
      </c>
      <c r="F147" s="14" t="s">
        <v>365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8" spans="2:9" ht="18">
      <c r="B148" t="str">
        <f>LocaleTable[[#This Row],['#인덱스제너레이터]]</f>
        <v>Item_PlusDesc_10000</v>
      </c>
      <c r="C148" s="54" t="s">
        <v>372</v>
      </c>
      <c r="D148" s="53" t="s">
        <v>634</v>
      </c>
      <c r="E148" s="14" t="s">
        <v>543</v>
      </c>
      <c r="F148" s="14" t="s">
        <v>365</v>
      </c>
      <c r="G148" s="19">
        <v>10000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9" spans="2:9" ht="18">
      <c r="B149" t="str">
        <f>LocaleTable[[#This Row],['#인덱스제너레이터]]</f>
        <v>Item_PlusDesc_10001</v>
      </c>
      <c r="C149" s="54" t="s">
        <v>510</v>
      </c>
      <c r="D149" s="53" t="s">
        <v>848</v>
      </c>
      <c r="E149" s="14" t="s">
        <v>543</v>
      </c>
      <c r="F149" s="14" t="s">
        <v>365</v>
      </c>
      <c r="G149" s="19">
        <v>10001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0" spans="2:9" ht="36">
      <c r="B150" t="str">
        <f>LocaleTable[[#This Row],['#인덱스제너레이터]]</f>
        <v>Item_PlusDesc_10002</v>
      </c>
      <c r="C150" s="54" t="s">
        <v>513</v>
      </c>
      <c r="D150" s="53" t="s">
        <v>847</v>
      </c>
      <c r="E150" s="14" t="s">
        <v>543</v>
      </c>
      <c r="F150" s="14" t="s">
        <v>365</v>
      </c>
      <c r="G150" s="19">
        <v>10002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1" spans="2:9" ht="18">
      <c r="B151" t="str">
        <f>LocaleTable[[#This Row],['#인덱스제너레이터]]</f>
        <v>Item_PlusDesc_10003</v>
      </c>
      <c r="C151" s="54" t="s">
        <v>508</v>
      </c>
      <c r="D151" s="53" t="s">
        <v>846</v>
      </c>
      <c r="E151" s="14" t="s">
        <v>543</v>
      </c>
      <c r="F151" s="14" t="s">
        <v>365</v>
      </c>
      <c r="G151" s="19">
        <v>10003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2" spans="2:9" ht="18">
      <c r="B152" t="str">
        <f>LocaleTable[[#This Row],['#인덱스제너레이터]]</f>
        <v>Item_PlusDesc_10004</v>
      </c>
      <c r="C152" s="53" t="s">
        <v>468</v>
      </c>
      <c r="D152" s="53" t="s">
        <v>635</v>
      </c>
      <c r="E152" s="14" t="s">
        <v>543</v>
      </c>
      <c r="F152" s="14" t="s">
        <v>365</v>
      </c>
      <c r="G152" s="19">
        <v>10004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3" spans="2:9" ht="36">
      <c r="B153" t="str">
        <f>LocaleTable[[#This Row],['#인덱스제너레이터]]</f>
        <v>Item_PlusDesc_10005</v>
      </c>
      <c r="C153" s="53" t="s">
        <v>509</v>
      </c>
      <c r="D153" s="53" t="s">
        <v>845</v>
      </c>
      <c r="E153" s="14" t="s">
        <v>543</v>
      </c>
      <c r="F153" s="14" t="s">
        <v>365</v>
      </c>
      <c r="G153" s="19">
        <v>10005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4" spans="2:9" ht="18">
      <c r="B154" t="str">
        <f>LocaleTable[[#This Row],['#인덱스제너레이터]]</f>
        <v>Item_MinusDesc_4000</v>
      </c>
      <c r="C154" s="53" t="s">
        <v>818</v>
      </c>
      <c r="D154" s="63" t="s">
        <v>819</v>
      </c>
      <c r="E154" s="14" t="s">
        <v>543</v>
      </c>
      <c r="F154" s="14" t="s">
        <v>366</v>
      </c>
      <c r="G154" s="19">
        <v>4000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5" spans="2:9" ht="18">
      <c r="B155" t="str">
        <f>LocaleTable[[#This Row],['#인덱스제너레이터]]</f>
        <v>Item_MinusDesc_4001</v>
      </c>
      <c r="C155" s="53" t="s">
        <v>390</v>
      </c>
      <c r="D155" s="63" t="s">
        <v>636</v>
      </c>
      <c r="E155" s="14" t="s">
        <v>543</v>
      </c>
      <c r="F155" s="14" t="s">
        <v>366</v>
      </c>
      <c r="G155" s="19">
        <v>4001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6" spans="2:9" ht="18">
      <c r="B156" t="str">
        <f>LocaleTable[[#This Row],['#인덱스제너레이터]]</f>
        <v>Item_MinusDesc_4002</v>
      </c>
      <c r="C156" s="53" t="s">
        <v>155</v>
      </c>
      <c r="D156" s="53" t="s">
        <v>637</v>
      </c>
      <c r="E156" s="14" t="s">
        <v>543</v>
      </c>
      <c r="F156" s="14" t="s">
        <v>366</v>
      </c>
      <c r="G156" s="19">
        <v>4002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7" spans="2:9" ht="18">
      <c r="B157" t="str">
        <f>LocaleTable[[#This Row],['#인덱스제너레이터]]</f>
        <v>Item_MinusDesc_4003</v>
      </c>
      <c r="C157" s="53" t="s">
        <v>835</v>
      </c>
      <c r="D157" s="53" t="s">
        <v>836</v>
      </c>
      <c r="E157" s="14" t="s">
        <v>543</v>
      </c>
      <c r="F157" s="14" t="s">
        <v>366</v>
      </c>
      <c r="G157" s="19">
        <v>4003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8" spans="2:9" ht="18">
      <c r="B158" t="str">
        <f>LocaleTable[[#This Row],['#인덱스제너레이터]]</f>
        <v>Item_MinusDesc_4004</v>
      </c>
      <c r="C158" s="53" t="s">
        <v>506</v>
      </c>
      <c r="D158" s="53" t="s">
        <v>638</v>
      </c>
      <c r="E158" s="14" t="s">
        <v>543</v>
      </c>
      <c r="F158" s="14" t="s">
        <v>366</v>
      </c>
      <c r="G158" s="19">
        <v>4004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9" spans="2:9" ht="18">
      <c r="B159" t="str">
        <f>LocaleTable[[#This Row],['#인덱스제너레이터]]</f>
        <v>Item_MinusDesc_4005</v>
      </c>
      <c r="C159" s="53" t="s">
        <v>461</v>
      </c>
      <c r="D159" s="53" t="s">
        <v>639</v>
      </c>
      <c r="E159" s="14" t="s">
        <v>543</v>
      </c>
      <c r="F159" s="14" t="s">
        <v>366</v>
      </c>
      <c r="G159" s="19">
        <v>4005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0" spans="2:9" ht="18">
      <c r="B160" t="str">
        <f>LocaleTable[[#This Row],['#인덱스제너레이터]]</f>
        <v>Item_MinusDesc_4006</v>
      </c>
      <c r="C160" s="53" t="s">
        <v>850</v>
      </c>
      <c r="D160" s="53" t="s">
        <v>854</v>
      </c>
      <c r="E160" s="14" t="s">
        <v>543</v>
      </c>
      <c r="F160" s="14" t="s">
        <v>366</v>
      </c>
      <c r="G160" s="19">
        <v>4006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2023-10-18T20:38:01Z</dcterms:modified>
  <cp:version>1200.0100.01</cp:version>
</cp:coreProperties>
</file>