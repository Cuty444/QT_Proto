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\_GameData\"/>
    </mc:Choice>
  </mc:AlternateContent>
  <xr:revisionPtr revIDLastSave="0" documentId="13_ncr:1_{D5837C63-F8E6-4BDC-BBBD-564E1029C52D}" xr6:coauthVersionLast="47" xr6:coauthVersionMax="47" xr10:uidLastSave="{00000000-0000-0000-0000-000000000000}"/>
  <bookViews>
    <workbookView xWindow="-120" yWindow="-120" windowWidth="38640" windowHeight="21120" firstSheet="5" activeTab="11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" i="10" l="1"/>
  <c r="H14" i="10"/>
  <c r="I13" i="10"/>
  <c r="H13" i="10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3" i="9"/>
  <c r="N20" i="9"/>
  <c r="N14" i="9"/>
  <c r="N13" i="9"/>
  <c r="N12" i="9"/>
  <c r="N9" i="9"/>
  <c r="N8" i="9"/>
  <c r="N7" i="9"/>
  <c r="N5" i="9"/>
  <c r="E22" i="9"/>
  <c r="E21" i="9"/>
  <c r="E20" i="9"/>
  <c r="N19" i="9"/>
  <c r="E19" i="9"/>
  <c r="K13" i="2"/>
  <c r="N6" i="9"/>
  <c r="I46" i="16"/>
  <c r="B46" i="16" s="1"/>
  <c r="I79" i="16"/>
  <c r="B79" i="16" s="1"/>
  <c r="I80" i="16"/>
  <c r="B80" i="16" s="1"/>
  <c r="I92" i="16"/>
  <c r="B92" i="16" s="1"/>
  <c r="I99" i="16"/>
  <c r="B99" i="16" s="1"/>
  <c r="I100" i="16"/>
  <c r="B100" i="16" s="1"/>
  <c r="I95" i="16"/>
  <c r="B95" i="16" s="1"/>
  <c r="I96" i="16"/>
  <c r="B96" i="16" s="1"/>
  <c r="I97" i="16"/>
  <c r="B97" i="16" s="1"/>
  <c r="I98" i="16"/>
  <c r="B98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81" i="16"/>
  <c r="B81" i="16" s="1"/>
  <c r="I82" i="16"/>
  <c r="B82" i="16" s="1"/>
  <c r="I83" i="16"/>
  <c r="B83" i="16" s="1"/>
  <c r="I84" i="16"/>
  <c r="B84" i="16" s="1"/>
  <c r="I93" i="16"/>
  <c r="B93" i="16" s="1"/>
  <c r="I94" i="16"/>
  <c r="B94" i="16" s="1"/>
  <c r="E24" i="3" a="1"/>
  <c r="E24" i="3" s="1"/>
  <c r="I155" i="16"/>
  <c r="B155" i="16" s="1"/>
  <c r="I186" i="16"/>
  <c r="B186" i="16" s="1"/>
  <c r="I217" i="16"/>
  <c r="B217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6" i="16"/>
  <c r="B216" i="16" s="1"/>
  <c r="I185" i="16"/>
  <c r="B185" i="16" s="1"/>
  <c r="I154" i="16"/>
  <c r="B154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6" i="16"/>
  <c r="B206" i="16" s="1"/>
  <c r="I175" i="16"/>
  <c r="B175" i="16" s="1"/>
  <c r="I144" i="16"/>
  <c r="B144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01" i="16"/>
  <c r="B101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40" i="10"/>
  <c r="I139" i="10"/>
  <c r="I138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4" i="16"/>
  <c r="B214" i="16" s="1"/>
  <c r="I183" i="16"/>
  <c r="B183" i="16" s="1"/>
  <c r="I152" i="16"/>
  <c r="B152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7" i="16"/>
  <c r="B237" i="16" s="1"/>
  <c r="I224" i="16"/>
  <c r="B224" i="16" s="1"/>
  <c r="O27" i="13" a="1"/>
  <c r="O27" i="13" s="1"/>
  <c r="I162" i="16"/>
  <c r="B162" i="16" s="1"/>
  <c r="I193" i="16"/>
  <c r="B193" i="16" s="1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75" i="10"/>
  <c r="I76" i="10"/>
  <c r="I74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N32" i="19"/>
  <c r="I73" i="10"/>
  <c r="I71" i="10"/>
  <c r="I69" i="10"/>
  <c r="I67" i="10"/>
  <c r="I72" i="10"/>
  <c r="I70" i="10"/>
  <c r="I68" i="10"/>
  <c r="I66" i="10"/>
  <c r="I65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4" i="10"/>
  <c r="I63" i="10"/>
  <c r="I62" i="10"/>
  <c r="I61" i="10"/>
  <c r="I63" i="16"/>
  <c r="B63" i="16" s="1"/>
  <c r="I64" i="16"/>
  <c r="B64" i="16" s="1"/>
  <c r="I54" i="16"/>
  <c r="B54" i="16" s="1"/>
  <c r="I53" i="16"/>
  <c r="B53" i="16" s="1"/>
  <c r="I51" i="16"/>
  <c r="B51" i="16" s="1"/>
  <c r="I52" i="16"/>
  <c r="B52" i="16" s="1"/>
  <c r="I50" i="16"/>
  <c r="B50" i="16" s="1"/>
  <c r="I49" i="16"/>
  <c r="B49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6" i="16"/>
  <c r="B76" i="16" s="1"/>
  <c r="I75" i="16"/>
  <c r="B75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65" i="16"/>
  <c r="B65" i="16" s="1"/>
  <c r="I66" i="16"/>
  <c r="B66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2" i="16"/>
  <c r="B62" i="16" s="1"/>
  <c r="I61" i="16"/>
  <c r="B61" i="16" s="1"/>
  <c r="I77" i="16"/>
  <c r="B77" i="16" s="1"/>
  <c r="I78" i="16"/>
  <c r="B78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M20" i="2"/>
  <c r="N20" i="2" s="1"/>
  <c r="K14" i="2"/>
  <c r="K15" i="2"/>
  <c r="O22" i="2" s="1"/>
  <c r="P22" i="2" s="1"/>
  <c r="L32" i="19" l="1"/>
  <c r="O35" i="14"/>
  <c r="K22" i="2"/>
  <c r="L22" i="2" s="1"/>
  <c r="L14" i="19"/>
  <c r="K20" i="2"/>
  <c r="L20" i="2" s="1"/>
  <c r="Q20" i="2" s="1"/>
  <c r="O33" i="14"/>
  <c r="M22" i="2"/>
  <c r="N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R20" i="14" s="1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R28" i="14" s="1"/>
  <c r="O24" i="14"/>
  <c r="O14" i="14"/>
  <c r="O10" i="14"/>
  <c r="O5" i="14"/>
  <c r="O41" i="14"/>
  <c r="O31" i="14"/>
  <c r="O27" i="14"/>
  <c r="O13" i="14"/>
  <c r="O8" i="14"/>
  <c r="O40" i="14"/>
  <c r="O36" i="14"/>
  <c r="R36" i="14" s="1"/>
  <c r="O30" i="14"/>
  <c r="R30" i="14" s="1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7" i="9"/>
  <c r="I3" i="16"/>
  <c r="B3" i="16" s="1"/>
  <c r="I4" i="16"/>
  <c r="B4" i="16" s="1"/>
  <c r="I5" i="16"/>
  <c r="B5" i="16" s="1"/>
  <c r="I60" i="16"/>
  <c r="B60" i="16" s="1"/>
  <c r="I59" i="16"/>
  <c r="B59" i="16" s="1"/>
  <c r="I58" i="16"/>
  <c r="B58" i="16" s="1"/>
  <c r="I57" i="16"/>
  <c r="B57" i="16" s="1"/>
  <c r="I56" i="16"/>
  <c r="B56" i="16" s="1"/>
  <c r="I55" i="16"/>
  <c r="B55" i="16" s="1"/>
  <c r="I48" i="16"/>
  <c r="B48" i="16" s="1"/>
  <c r="I47" i="16"/>
  <c r="B4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3" i="16"/>
  <c r="B163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5" i="16"/>
  <c r="B215" i="16" s="1"/>
  <c r="I218" i="16"/>
  <c r="B218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5" i="16"/>
  <c r="B225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16" i="14"/>
  <c r="R10" i="14"/>
  <c r="R18" i="14"/>
  <c r="R23" i="14"/>
  <c r="R12" i="14"/>
  <c r="R21" i="14"/>
  <c r="R19" i="14"/>
  <c r="R38" i="14"/>
  <c r="R17" i="14"/>
  <c r="R37" i="14"/>
  <c r="R13" i="14"/>
  <c r="R39" i="14"/>
  <c r="R6" i="14"/>
  <c r="R22" i="14"/>
  <c r="R34" i="14"/>
  <c r="R33" i="14"/>
  <c r="R35" i="14"/>
  <c r="Q22" i="2" l="1"/>
  <c r="E38" i="2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8" i="10"/>
  <c r="I60" i="10"/>
  <c r="I58" i="10"/>
  <c r="I57" i="10"/>
  <c r="I56" i="10"/>
  <c r="I55" i="10"/>
  <c r="I59" i="10"/>
  <c r="I47" i="10"/>
  <c r="N5" i="7"/>
  <c r="O5" i="7"/>
  <c r="P5" i="7"/>
  <c r="Q5" i="7"/>
  <c r="R5" i="7"/>
  <c r="S5" i="7"/>
  <c r="K9" i="2"/>
  <c r="I44" i="10"/>
  <c r="I3" i="10"/>
  <c r="I4" i="10"/>
  <c r="I6" i="10"/>
  <c r="I11" i="10"/>
  <c r="I8" i="10"/>
  <c r="I10" i="10"/>
  <c r="I7" i="10"/>
  <c r="I12" i="10"/>
  <c r="I9" i="10"/>
  <c r="I5" i="10"/>
  <c r="I15" i="10"/>
  <c r="I16" i="10"/>
  <c r="I17" i="10"/>
  <c r="I18" i="10"/>
  <c r="I19" i="10"/>
  <c r="I20" i="10"/>
  <c r="I21" i="10"/>
  <c r="I22" i="10"/>
  <c r="I23" i="10"/>
  <c r="I24" i="10"/>
  <c r="I45" i="10"/>
  <c r="I46" i="10"/>
  <c r="I38" i="10"/>
  <c r="I40" i="10"/>
  <c r="I28" i="10"/>
  <c r="I34" i="10"/>
  <c r="I29" i="10"/>
  <c r="I32" i="10"/>
  <c r="I36" i="10"/>
  <c r="I37" i="10"/>
  <c r="I26" i="10"/>
  <c r="I27" i="10"/>
  <c r="I33" i="10"/>
  <c r="I35" i="10"/>
  <c r="I30" i="10"/>
  <c r="I25" i="10"/>
  <c r="I31" i="10"/>
  <c r="I39" i="10"/>
  <c r="I41" i="10"/>
  <c r="I42" i="10"/>
  <c r="I43" i="10"/>
  <c r="I50" i="10"/>
  <c r="I51" i="10"/>
  <c r="I52" i="10"/>
  <c r="I53" i="10"/>
  <c r="I54" i="10"/>
  <c r="I49" i="10"/>
  <c r="E10" i="9"/>
  <c r="H24" i="10"/>
  <c r="E15" i="9"/>
  <c r="E14" i="9"/>
  <c r="E13" i="9"/>
  <c r="H33" i="10"/>
  <c r="H39" i="10"/>
  <c r="H31" i="10"/>
  <c r="H25" i="10"/>
  <c r="H30" i="10"/>
  <c r="H35" i="10"/>
  <c r="H27" i="10"/>
  <c r="H26" i="10"/>
  <c r="H37" i="10"/>
  <c r="H36" i="10"/>
  <c r="H32" i="10"/>
  <c r="H29" i="10"/>
  <c r="H34" i="10"/>
  <c r="H28" i="10"/>
  <c r="H40" i="10"/>
  <c r="H38" i="10"/>
  <c r="H3" i="10"/>
  <c r="H4" i="10"/>
  <c r="H6" i="10"/>
  <c r="H11" i="10"/>
  <c r="H8" i="10"/>
  <c r="H10" i="10"/>
  <c r="H7" i="10"/>
  <c r="H12" i="10"/>
  <c r="H9" i="10"/>
  <c r="H5" i="10"/>
  <c r="H15" i="10"/>
  <c r="H16" i="10"/>
  <c r="H17" i="10"/>
  <c r="H18" i="10"/>
  <c r="H19" i="10"/>
  <c r="H20" i="10"/>
  <c r="H21" i="10"/>
  <c r="H22" i="10"/>
  <c r="H23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E9" i="9"/>
  <c r="E8" i="9"/>
  <c r="E7" i="9"/>
  <c r="E6" i="9"/>
  <c r="E4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M14" i="2" s="1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l="1"/>
  <c r="P15" i="2"/>
  <c r="B24" i="13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41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40" i="10"/>
  <c r="H139" i="10"/>
  <c r="H138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20" i="10"/>
  <c r="H119" i="10"/>
  <c r="H131" i="10"/>
  <c r="H85" i="10"/>
  <c r="H82" i="10"/>
  <c r="H121" i="10"/>
  <c r="H103" i="10"/>
  <c r="H117" i="10"/>
  <c r="H98" i="10"/>
  <c r="H87" i="10"/>
  <c r="H136" i="10"/>
  <c r="H127" i="10"/>
  <c r="H114" i="10"/>
  <c r="H77" i="10"/>
  <c r="H113" i="10"/>
  <c r="H111" i="10"/>
  <c r="H128" i="10"/>
  <c r="H80" i="10"/>
  <c r="H93" i="10"/>
  <c r="H108" i="10"/>
  <c r="H81" i="10"/>
  <c r="H123" i="10"/>
  <c r="H124" i="10"/>
  <c r="H79" i="10"/>
  <c r="H95" i="10"/>
  <c r="H102" i="10"/>
  <c r="H132" i="10"/>
  <c r="H94" i="10"/>
  <c r="H107" i="10"/>
  <c r="H89" i="10"/>
  <c r="H100" i="10"/>
  <c r="H104" i="10"/>
  <c r="H83" i="10"/>
  <c r="H86" i="10"/>
  <c r="H122" i="10"/>
  <c r="H88" i="10"/>
  <c r="H133" i="10"/>
  <c r="H116" i="10"/>
  <c r="H109" i="10"/>
  <c r="H135" i="10"/>
  <c r="H96" i="10"/>
  <c r="H97" i="10"/>
  <c r="H106" i="10"/>
  <c r="H90" i="10"/>
  <c r="H112" i="10"/>
  <c r="H110" i="10"/>
  <c r="H76" i="10"/>
  <c r="H126" i="10"/>
  <c r="H101" i="10"/>
  <c r="H91" i="10"/>
  <c r="H137" i="10"/>
  <c r="H75" i="10"/>
  <c r="H78" i="10"/>
  <c r="H92" i="10"/>
  <c r="H134" i="10"/>
  <c r="H105" i="10"/>
  <c r="H74" i="10"/>
  <c r="H115" i="10"/>
  <c r="H129" i="10"/>
  <c r="H118" i="10"/>
  <c r="H84" i="10"/>
  <c r="H99" i="10"/>
  <c r="H125" i="10"/>
  <c r="H130" i="10"/>
  <c r="H70" i="10"/>
  <c r="H73" i="10"/>
  <c r="H67" i="10"/>
  <c r="H72" i="10"/>
  <c r="H69" i="10"/>
  <c r="H66" i="10"/>
  <c r="H68" i="10"/>
  <c r="H71" i="10"/>
  <c r="H65" i="10"/>
  <c r="C185" i="11"/>
  <c r="H64" i="10"/>
  <c r="H63" i="10"/>
  <c r="H61" i="10"/>
  <c r="H62" i="10"/>
  <c r="H44" i="10"/>
  <c r="H45" i="10"/>
  <c r="H54" i="10"/>
  <c r="H55" i="10"/>
  <c r="H58" i="10"/>
  <c r="H53" i="10"/>
  <c r="H57" i="10"/>
  <c r="H43" i="10"/>
  <c r="H47" i="10"/>
  <c r="H48" i="10"/>
  <c r="H52" i="10"/>
  <c r="H60" i="10"/>
  <c r="H42" i="10"/>
  <c r="H50" i="10"/>
  <c r="H46" i="10"/>
  <c r="H49" i="10"/>
  <c r="H51" i="10"/>
  <c r="H59" i="10"/>
  <c r="H56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<sst xmlns="http://schemas.openxmlformats.org/spreadsheetml/2006/main" count="2809" uniqueCount="1168">
  <si>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</si>
  <si>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</si>
  <si>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</si>
  <si>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</si>
  <si>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</si>
  <si>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</si>
  <si>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</si>
  <si>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</si>
  <si>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</si>
  <si>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</si>
  <si>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</si>
  <si>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</si>
  <si>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</si>
  <si>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</si>
  <si>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</si>
  <si>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</si>
  <si>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</si>
  <si>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</si>
  <si>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</si>
  <si>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</si>
  <si>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</si>
  <si>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</si>
  <si>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</si>
  <si>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</si>
  <si>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</si>
  <si>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</si>
  <si>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</si>
  <si>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</si>
  <si>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</si>
  <si>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</si>
  <si>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</si>
  <si>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</si>
  <si>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</si>
  <si>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</si>
  <si>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</si>
  <si>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</si>
  <si>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</si>
  <si>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</si>
  <si>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</si>
  <si>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</si>
  <si>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</si>
  <si>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</si>
  <si>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</si>
  <si>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</si>
  <si>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</si>
  <si>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</si>
  <si>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</si>
  <si>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</si>
  <si>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</si>
  <si>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</si>
  <si>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</si>
  <si>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</si>
  <si>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</si>
  <si>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</si>
  <si>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</si>
  <si>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</si>
  <si>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</si>
  <si>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</si>
  <si>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</si>
  <si>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</si>
  <si>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</si>
  <si>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</si>
  <si>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</si>
  <si>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</si>
  <si>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</si>
  <si>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</si>
  <si>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</si>
  <si>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</si>
  <si>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</si>
  <si>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</si>
  <si>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</si>
  <si>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</si>
  <si>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</si>
  <si>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</si>
  <si>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</si>
  <si>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</si>
  <si>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</si>
  <si>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</si>
  <si>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</si>
  <si>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</si>
  <si>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</si>
  <si>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</si>
  <si>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</si>
  <si>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</si>
  <si>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</si>
  <si>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</si>
  <si>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</si>
  <si>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</si>
  <si>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</si>
  <si>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</si>
  <si>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</si>
  <si>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</si>
  <si>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</si>
  <si>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</si>
  <si>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</si>
  <si>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</si>
  <si>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</si>
  <si>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</si>
  <si>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</si>
  <si>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</si>
  <si>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</si>
  <si>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</si>
  <si>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</si>
  <si>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</si>
  <si>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</si>
  <si>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</si>
  <si>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</si>
  <si>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</si>
  <si>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</si>
  <si>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</si>
  <si>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</si>
  <si>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</si>
  <si>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</si>
  <si>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</si>
  <si>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</si>
  <si>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</si>
  <si>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</si>
  <si>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</si>
  <si>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</si>
  <si>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</si>
  <si>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</si>
  <si>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</si>
  <si>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</si>
  <si>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</si>
  <si>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</si>
  <si>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</si>
  <si>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</si>
  <si>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</si>
  <si>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</si>
  <si>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</si>
  <si>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</si>
  <si>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</si>
  <si>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</si>
  <si>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</si>
  <si>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</si>
  <si>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</si>
  <si>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</si>
  <si>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</si>
  <si>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</si>
  <si>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</si>
  <si>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</si>
  <si>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</si>
  <si>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</si>
  <si>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</si>
  <si>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</si>
  <si>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</si>
  <si>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</si>
  <si>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</si>
  <si>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</si>
  <si>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</si>
  <si>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</si>
  <si>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</si>
  <si>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</si>
  <si>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</si>
  <si>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</si>
  <si>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</si>
  <si>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</si>
  <si>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</si>
  <si>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</si>
  <si>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</si>
  <si>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</si>
  <si>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</si>
  <si>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</si>
  <si>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</si>
  <si>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</si>
  <si>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</si>
  <si>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</si>
  <si>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</si>
  <si>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</si>
  <si>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</si>
  <si>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</si>
  <si>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</si>
  <si>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</si>
  <si>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</si>
  <si>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</si>
  <si>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</si>
  <si>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</si>
  <si>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</si>
  <si>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</si>
  <si>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</si>
  <si>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</si>
  <si>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</si>
  <si>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</si>
  <si>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</si>
  <si>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</si>
  <si>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</si>
  <si>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</si>
  <si>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</si>
  <si>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</si>
  <si>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</si>
  <si>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</si>
  <si>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</si>
  <si>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</si>
  <si>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</si>
  <si>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</si>
  <si>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</si>
  <si>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</si>
  <si>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</si>
  <si>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</si>
  <si>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</si>
  <si>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</si>
  <si>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</si>
  <si>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</si>
  <si>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</si>
  <si>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</si>
  <si>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</si>
  <si>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</si>
  <si>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</si>
  <si>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</si>
  <si>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</si>
  <si>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</si>
  <si>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</si>
  <si>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</si>
  <si>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</si>
  <si>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</si>
  <si>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</si>
  <si>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</si>
  <si>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</si>
  <si>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</si>
  <si>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</si>
  <si>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</si>
  <si>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</si>
  <si>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</si>
  <si>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</si>
  <si>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</si>
  <si>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</si>
  <si>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</si>
  <si>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</si>
  <si>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</si>
  <si>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</si>
  <si>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</si>
  <si>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</si>
  <si>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</si>
  <si>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</si>
  <si>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</si>
  <si>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</si>
  <si>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</si>
  <si>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</si>
  <si>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</si>
  <si>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</si>
  <si>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</si>
  <si>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</si>
  <si>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</si>
  <si>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</si>
  <si>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</si>
  <si>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</si>
  <si>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</si>
  <si>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</si>
  <si>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</si>
  <si>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</si>
  <si>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</si>
  <si>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</si>
  <si>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</si>
  <si>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</si>
  <si>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</si>
  <si>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</si>
  <si>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</si>
  <si>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</si>
  <si>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</si>
  <si>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</si>
  <si>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</si>
  <si>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</si>
  <si>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</si>
  <si>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</si>
  <si>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</si>
  <si>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</si>
  <si>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</si>
  <si>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</si>
  <si>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</si>
  <si>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</si>
  <si>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</si>
  <si>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</si>
  <si>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</si>
  <si>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</si>
  <si>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</si>
  <si>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</si>
  <si>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</si>
  <si>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</si>
  <si>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</si>
  <si>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</si>
  <si>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</si>
  <si>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</si>
  <si>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</si>
  <si>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</si>
  <si>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</si>
  <si>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</si>
  <si>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</si>
  <si>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</si>
  <si>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</si>
  <si>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</si>
  <si>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</si>
  <si>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</si>
  <si>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</si>
  <si>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</si>
  <si>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</si>
  <si>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</si>
  <si>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</si>
  <si>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</si>
  <si>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</si>
  <si>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</si>
  <si>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</si>
  <si>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</si>
  <si>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</si>
  <si>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</si>
  <si>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</si>
  <si>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</si>
  <si>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</si>
  <si>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</si>
  <si>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</si>
  <si>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</si>
  <si>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</si>
  <si>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</si>
  <si>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</si>
  <si>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</si>
  <si>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</si>
  <si>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</si>
  <si>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</si>
  <si>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</si>
  <si>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</si>
  <si>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</si>
  <si>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</si>
  <si>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</si>
  <si>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</si>
  <si>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</si>
  <si>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</si>
  <si>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</si>
  <si>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</si>
  <si>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</si>
  <si>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</si>
  <si>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</si>
  <si>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</si>
  <si>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</si>
  <si>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</si>
  <si>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</si>
  <si>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</si>
  <si>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</si>
  <si>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</si>
  <si>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</si>
  <si>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</si>
  <si>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</si>
  <si>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</si>
  <si>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</si>
  <si>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</si>
  <si>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</si>
  <si>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</si>
  <si>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</si>
  <si>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</si>
  <si>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</si>
  <si>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</si>
  <si>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</si>
  <si>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</si>
  <si>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</si>
  <si>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</si>
  <si>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</si>
  <si>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</si>
  <si>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</si>
  <si>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</si>
  <si>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</si>
  <si>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</si>
  <si>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</si>
  <si>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</si>
  <si>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</si>
  <si>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</si>
  <si>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</si>
  <si>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</si>
  <si>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</si>
  <si>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</si>
  <si>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</si>
  <si>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</si>
  <si>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</si>
  <si>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</si>
  <si>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</si>
  <si>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</si>
  <si>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</si>
  <si>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</si>
  <si>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</si>
  <si>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</si>
  <si>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</si>
  <si>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</si>
  <si>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</si>
  <si>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</si>
  <si>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</si>
  <si>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</si>
  <si>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</si>
  <si>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</si>
  <si>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</si>
  <si>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</si>
  <si>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</si>
  <si>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</si>
  <si>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</si>
  <si>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</si>
  <si>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</si>
  <si>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</si>
  <si>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</si>
  <si>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</si>
  <si>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</si>
  <si>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</si>
  <si>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</si>
  <si>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</si>
  <si>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</si>
  <si>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</si>
  <si>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</si>
  <si>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</si>
  <si>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</si>
  <si>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</si>
  <si>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</si>
  <si>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</si>
  <si>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</si>
  <si>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</si>
  <si>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</si>
  <si>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</si>
  <si>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</si>
  <si>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</si>
  <si>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</si>
  <si>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</si>
  <si>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</si>
  <si>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</si>
  <si>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</si>
  <si>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</si>
  <si>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</si>
  <si>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</si>
  <si>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</si>
  <si>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</si>
  <si>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</si>
  <si>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</si>
  <si>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</si>
  <si>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</si>
  <si>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</si>
  <si>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</si>
  <si>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</si>
  <si>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</si>
  <si>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</si>
  <si>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</si>
  <si>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</si>
  <si>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</si>
  <si>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</si>
  <si>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</si>
  <si>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</si>
  <si>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</si>
  <si>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</si>
  <si>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</si>
  <si>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</si>
  <si>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</si>
  <si>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</si>
  <si>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</si>
  <si>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</si>
  <si>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</si>
  <si>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</si>
  <si>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</si>
  <si>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</si>
  <si>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</si>
  <si>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</si>
  <si>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</si>
  <si>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</si>
  <si>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</si>
  <si>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</si>
  <si>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</si>
  <si>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</si>
  <si>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</si>
  <si>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</si>
  <si>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</si>
  <si>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</si>
  <si>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</si>
  <si>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</si>
  <si>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</si>
  <si>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</si>
  <si>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</si>
  <si>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</si>
  <si>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</si>
  <si>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</si>
  <si>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</si>
  <si>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</si>
  <si>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</si>
  <si>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</si>
  <si>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</si>
  <si>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</si>
  <si>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</si>
  <si>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</si>
  <si>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</si>
  <si>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</si>
  <si>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</si>
  <si>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</si>
  <si>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</si>
  <si>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</si>
  <si>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</si>
  <si>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</si>
  <si>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</si>
  <si>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</si>
  <si>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</si>
  <si>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</si>
  <si>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</si>
  <si>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</si>
  <si>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</si>
  <si>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</si>
  <si>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</si>
  <si>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</si>
  <si>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</si>
  <si>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</si>
  <si>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</si>
  <si>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</si>
  <si>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</si>
  <si>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</si>
  <si>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</si>
  <si>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</si>
  <si>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</si>
  <si>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</si>
  <si>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</si>
  <si>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</si>
  <si>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</si>
  <si>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</si>
  <si>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</si>
  <si>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</si>
  <si>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</si>
  <si>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</si>
  <si>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</si>
  <si>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</si>
  <si>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</si>
  <si>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</si>
  <si>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</si>
  <si>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</si>
  <si>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</si>
  <si>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</si>
  <si>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</si>
  <si>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</si>
  <si>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</si>
  <si>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</si>
  <si>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</si>
  <si>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</si>
  <si>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</si>
  <si>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</si>
  <si>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</si>
  <si>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</si>
  <si>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</si>
  <si>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</si>
  <si>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</si>
  <si>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</si>
  <si>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</si>
  <si>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</si>
  <si>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</si>
  <si>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</si>
  <si>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</si>
  <si>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</si>
  <si>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</si>
  <si>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</si>
  <si>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</si>
  <si>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</si>
  <si>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</si>
  <si>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</si>
  <si>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</si>
  <si>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</si>
  <si>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</si>
  <si>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</si>
  <si>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</si>
  <si>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</si>
  <si>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</si>
  <si>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</si>
  <si>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</si>
  <si>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</si>
  <si>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</si>
  <si>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</si>
  <si>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</si>
  <si>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</si>
  <si>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</si>
  <si>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</si>
  <si>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</si>
  <si>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</si>
  <si>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</si>
  <si>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</si>
  <si>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</si>
  <si>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</si>
  <si>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</si>
  <si>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</si>
  <si>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</si>
  <si>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</si>
  <si>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</si>
  <si>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</si>
  <si>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</si>
  <si>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</si>
  <si>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</si>
  <si>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</si>
  <si>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</si>
  <si>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</si>
  <si>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</si>
  <si>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</si>
  <si>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</si>
  <si>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</si>
  <si>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</si>
  <si>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</si>
  <si>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</si>
  <si>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</si>
  <si>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</si>
  <si>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</si>
  <si>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</si>
  <si>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</si>
  <si>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</si>
  <si>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</si>
  <si>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</si>
  <si>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</si>
  <si>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</si>
  <si>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</si>
  <si>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</si>
  <si>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</si>
  <si>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</si>
  <si>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</si>
  <si>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</si>
  <si>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</si>
  <si>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</si>
  <si>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</si>
  <si>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</si>
  <si>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</si>
  <si>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</si>
  <si>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</si>
  <si>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</si>
  <si>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</si>
  <si>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</si>
  <si>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</si>
  <si>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</si>
  <si>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</si>
  <si>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</si>
  <si>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</si>
  <si>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</si>
  <si>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</si>
  <si>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</si>
  <si>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</si>
  <si>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</si>
  <si>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</si>
  <si>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</si>
  <si>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</si>
  <si>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</si>
  <si>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</si>
  <si>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</si>
  <si>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</si>
  <si>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</si>
  <si>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</si>
  <si>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</si>
  <si>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</si>
  <si>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</si>
  <si>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</si>
  <si>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</si>
  <si>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</si>
  <si>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</si>
  <si>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</si>
  <si>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</si>
  <si>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</si>
  <si>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</si>
  <si>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</si>
  <si>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</si>
  <si>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</si>
  <si>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</si>
  <si>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</si>
  <si>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</si>
  <si>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</si>
  <si>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</si>
  <si>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</si>
  <si>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</si>
  <si>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</si>
  <si>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</si>
  <si>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</si>
  <si>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</si>
  <si>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</si>
  <si>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</si>
  <si>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</si>
  <si>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</si>
  <si>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</si>
  <si>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</si>
  <si>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</si>
  <si>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</si>
  <si>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</si>
  <si>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</si>
  <si>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</si>
  <si>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</si>
  <si>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</si>
  <si>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</si>
  <si>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</si>
  <si>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</si>
  <si>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</si>
  <si>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</si>
  <si>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</si>
  <si>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</si>
  <si>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</si>
  <si>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</si>
  <si>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</si>
  <si>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</si>
  <si>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</si>
  <si>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</si>
  <si>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</si>
  <si>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</si>
  <si>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</si>
  <si>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</si>
  <si>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</si>
  <si>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</si>
  <si>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</si>
  <si>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</si>
  <si>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</si>
  <si>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</si>
  <si>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</si>
  <si>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</si>
  <si>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</si>
  <si>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</si>
  <si>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</si>
  <si>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</si>
  <si>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</si>
  <si>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</si>
  <si>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</si>
  <si>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</si>
  <si>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</si>
  <si>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</si>
  <si>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</si>
  <si>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</si>
  <si>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</si>
  <si>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</si>
  <si>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</si>
  <si>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</si>
  <si>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</si>
  <si>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</si>
  <si>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</si>
  <si>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</si>
  <si>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</si>
  <si>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</si>
  <si>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</si>
  <si>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</si>
  <si>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</si>
  <si>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</si>
  <si>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</si>
  <si>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</si>
  <si>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</si>
  <si>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</si>
  <si>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</si>
  <si>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</si>
  <si>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</si>
  <si>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</si>
  <si>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</si>
  <si>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</si>
  <si>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</si>
  <si>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</si>
  <si>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</si>
  <si>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</si>
  <si>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</si>
  <si>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</si>
  <si>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</si>
  <si>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</si>
  <si>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</si>
  <si>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</si>
  <si>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</si>
  <si>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</si>
  <si>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</si>
  <si>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</si>
  <si>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</si>
  <si>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</si>
  <si>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</si>
  <si>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</si>
  <si>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</si>
  <si>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</si>
  <si>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</si>
  <si>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</si>
  <si>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</si>
  <si>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</si>
  <si>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</si>
  <si>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</si>
  <si>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</si>
  <si>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</si>
  <si>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</si>
  <si>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</si>
  <si>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</si>
  <si>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</si>
  <si>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</si>
  <si>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</si>
  <si>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</si>
  <si>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</si>
  <si>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</si>
  <si>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</si>
  <si>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</si>
  <si>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</si>
  <si>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</si>
  <si>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</si>
  <si>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</si>
  <si>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</si>
  <si>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</si>
  <si>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</si>
  <si>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</si>
  <si>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</si>
  <si>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</si>
  <si>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</si>
  <si>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</si>
  <si>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</si>
  <si>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</si>
  <si>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</si>
  <si>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</si>
  <si>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</si>
  <si>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</si>
  <si>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</si>
  <si>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</si>
  <si>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</si>
  <si>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</si>
  <si>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</si>
  <si>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</si>
  <si>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</si>
  <si>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</si>
  <si>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</si>
  <si>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</si>
  <si>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</si>
  <si>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</si>
  <si>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</si>
  <si>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</si>
  <si>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</si>
  <si>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</si>
  <si>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</si>
  <si>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</si>
  <si>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</si>
  <si>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</si>
  <si>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</si>
  <si>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</si>
  <si>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</si>
  <si>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</si>
  <si>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</si>
  <si>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</si>
  <si>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</si>
  <si>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</si>
  <si>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</si>
  <si>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</si>
  <si>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</si>
  <si>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</si>
  <si>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</si>
  <si>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</si>
  <si>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</si>
  <si>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</si>
  <si>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</si>
  <si>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</si>
  <si>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</si>
  <si>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</si>
  <si>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</si>
  <si>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</si>
  <si>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</si>
  <si>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</si>
  <si>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</si>
  <si>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</si>
  <si>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</si>
  <si>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</si>
  <si>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</si>
  <si>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</si>
  <si>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</si>
  <si>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</si>
  <si>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</si>
  <si>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</si>
  <si>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</si>
  <si>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</si>
  <si>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</si>
  <si>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</si>
  <si>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</si>
  <si>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</si>
  <si>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</si>
  <si>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</si>
  <si>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</si>
  <si>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</si>
  <si>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</si>
  <si>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</si>
  <si>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</si>
  <si>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</si>
  <si>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</si>
  <si>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</si>
  <si>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</si>
  <si>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</si>
  <si>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</si>
  <si>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</si>
  <si>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</si>
  <si>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</si>
  <si>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</si>
  <si>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</si>
  <si>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</si>
  <si>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</si>
  <si>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</si>
  <si>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</si>
  <si>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</si>
  <si>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</si>
  <si>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</si>
  <si>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</si>
  <si>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</si>
  <si>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</si>
  <si>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</si>
  <si>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</si>
  <si>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</si>
  <si>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</si>
  <si>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</si>
  <si>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</si>
  <si>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</si>
  <si>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</si>
  <si>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</si>
  <si>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</si>
  <si>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</si>
  <si>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</si>
  <si>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</si>
  <si>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</si>
  <si>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</si>
  <si>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</si>
  <si>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</si>
  <si>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</si>
  <si>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</si>
  <si>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</si>
  <si>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</si>
  <si>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</si>
  <si>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</si>
  <si>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</si>
  <si>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</si>
  <si>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</si>
  <si>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</si>
  <si>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</si>
  <si>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</si>
  <si>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</si>
  <si>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</si>
  <si>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</si>
  <si>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</si>
  <si>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</si>
  <si>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</si>
  <si>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</si>
  <si>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</si>
  <si>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</si>
  <si>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</si>
  <si>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</si>
  <si>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</si>
  <si>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</si>
  <si>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</si>
  <si>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</si>
  <si>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</si>
  <si>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</si>
  <si>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</si>
  <si>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</si>
  <si>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</si>
  <si>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</si>
  <si>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</si>
  <si>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</si>
  <si>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</si>
  <si>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</si>
  <si>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</si>
  <si>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</si>
  <si>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</si>
  <si>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</si>
  <si>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</si>
  <si>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</si>
  <si>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</si>
  <si>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</si>
  <si>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</si>
  <si>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</si>
  <si>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</si>
  <si>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</si>
  <si>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</si>
  <si>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</si>
  <si>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</si>
  <si>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</si>
  <si>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</si>
  <si>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</si>
  <si>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</si>
  <si>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</si>
  <si>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</si>
  <si>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</si>
  <si>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</si>
  <si>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</si>
  <si>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</si>
  <si>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</si>
  <si>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</si>
  <si>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</si>
  <si>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</si>
  <si>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</si>
  <si>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</si>
  <si>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</si>
  <si>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</si>
  <si>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</si>
  <si>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</si>
  <si>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</si>
  <si>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</si>
  <si>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</si>
  <si>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</si>
  <si>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</si>
  <si>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</si>
  <si>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</si>
  <si>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</si>
  <si>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</si>
  <si>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</si>
  <si>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</si>
  <si>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</si>
  <si>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</si>
  <si>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</si>
  <si>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</si>
  <si>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</si>
  <si>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</si>
  <si>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</si>
  <si>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</si>
  <si>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</si>
  <si>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</si>
  <si>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</si>
  <si>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</si>
  <si>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</si>
  <si>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</si>
  <si>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</si>
  <si>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</si>
  <si>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</si>
  <si>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</si>
  <si>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</si>
  <si>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</si>
  <si>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</si>
  <si>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</si>
  <si>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</si>
  <si>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</si>
  <si>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</si>
  <si>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</si>
  <si>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</si>
  <si>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</si>
  <si>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</si>
  <si>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</si>
  <si>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</si>
  <si>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</si>
  <si>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</si>
  <si>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</si>
  <si>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</si>
  <si>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</si>
  <si>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</si>
  <si>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</si>
  <si>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</si>
  <si>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</si>
  <si>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</si>
  <si>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</si>
  <si>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</si>
  <si>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</si>
  <si>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</si>
  <si>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</si>
  <si>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</si>
  <si>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</si>
  <si>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</si>
  <si>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</si>
  <si>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</si>
  <si>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</si>
  <si>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</si>
  <si>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</si>
  <si>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</si>
  <si>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</si>
  <si>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</si>
  <si>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</si>
  <si>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</si>
  <si>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</si>
  <si>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</si>
  <si>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</si>
  <si>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</si>
  <si>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</si>
  <si>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</si>
  <si>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</si>
  <si>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</si>
  <si>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</si>
  <si>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</si>
  <si>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</si>
  <si>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</si>
  <si>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</si>
  <si>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</si>
  <si>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</si>
  <si>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</si>
  <si>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</si>
  <si>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</si>
  <si>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</si>
  <si>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</si>
  <si>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</si>
  <si>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</si>
  <si>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</si>
  <si>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</si>
  <si>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</si>
  <si>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</si>
  <si>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</si>
  <si>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</si>
  <si>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</si>
  <si>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</si>
  <si>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</si>
  <si>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</si>
  <si>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</si>
  <si>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</si>
  <si>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</si>
  <si>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</si>
  <si>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</si>
  <si>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</si>
  <si>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</si>
  <si>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</si>
  <si>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</si>
  <si>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</si>
  <si>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</si>
  <si>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</si>
  <si>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</si>
  <si>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</si>
  <si>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</si>
  <si>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</si>
  <si>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</si>
  <si>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</si>
  <si>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</si>
  <si>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</si>
  <si>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</si>
  <si>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</si>
  <si>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</si>
  <si>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</si>
  <si>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</si>
  <si>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</si>
  <si>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</si>
  <si>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</si>
  <si>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</si>
  <si>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</si>
  <si>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</si>
  <si>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</si>
  <si>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</si>
  <si>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</si>
  <si>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</si>
  <si>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</si>
  <si>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</si>
  <si>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</si>
  <si>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</si>
  <si>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</si>
  <si>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</si>
  <si>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</si>
  <si>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</si>
  <si>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</si>
  <si>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</si>
  <si>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</si>
  <si>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</si>
  <si>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</si>
  <si>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</si>
  <si>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</si>
  <si>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</si>
  <si>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</si>
  <si>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</si>
  <si>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</si>
  <si>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</si>
  <si>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</si>
  <si>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</si>
  <si>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</si>
  <si>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</si>
  <si>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</si>
  <si>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</si>
  <si>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</si>
  <si>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</si>
  <si>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</si>
  <si>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</si>
  <si>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</si>
  <si>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</si>
  <si>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</si>
  <si>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</si>
  <si>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</si>
  <si>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</si>
  <si>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</si>
  <si>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</si>
  <si>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</si>
  <si>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</si>
  <si>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</si>
  <si>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</si>
  <si>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</si>
  <si>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</si>
  <si>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</si>
  <si>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</si>
  <si>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</si>
  <si>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</si>
  <si>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</si>
  <si>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</si>
  <si>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</si>
  <si>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</si>
  <si>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피격시 체력 피해 대신 20골드 감소</t>
  </si>
  <si>
    <t>Reduce 20 Golds instead of Damage</t>
  </si>
  <si>
    <t>반반</t>
    <phoneticPr fontId="6" type="noConversion"/>
  </si>
  <si>
    <t>보스 잡몹용 - 포수</t>
    <phoneticPr fontId="6" type="noConversion"/>
  </si>
  <si>
    <t>보스 잡몹용 - 귀마개</t>
    <phoneticPr fontId="6" type="noConversion"/>
  </si>
  <si>
    <t>보스 잡몹용 - 슬라임</t>
    <phoneticPr fontId="6" type="noConversion"/>
  </si>
  <si>
    <t>보스 잡몹용 - 유령</t>
    <phoneticPr fontId="6" type="noConversion"/>
  </si>
  <si>
    <t>기절한 적을 공격할 때\n5%확률로 반칸 회복</t>
    <phoneticPr fontId="6" type="noConversion"/>
  </si>
  <si>
    <t>When attacking stunned enemies,\nhas a 5% chance to recover half of health.</t>
    <phoneticPr fontId="6" type="noConversion"/>
  </si>
  <si>
    <t>earring</t>
    <phoneticPr fontId="6" type="noConversion"/>
  </si>
  <si>
    <t>회피쿨타임 +100%</t>
    <phoneticPr fontId="6" type="noConversion"/>
  </si>
  <si>
    <t>Evasion cooldown +100%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</si>
</sst>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1" totalsRowDxfId="10"/>
    <tableColumn id="2" xr3:uid="{00000000-0010-0000-0300-000002000000}" name="개수" dataDxfId="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61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60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9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8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7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6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5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54" dataDxfId="153">
  <autoFilter ref="B11:F42" xr:uid="{00000000-0009-0000-0100-000008000000}"/>
  <tableColumns count="5">
    <tableColumn id="1" xr3:uid="{00000000-0010-0000-0600-000001000000}" name="스텟" dataDxfId="152"/>
    <tableColumn id="2" xr3:uid="{00000000-0010-0000-0600-000002000000}" name="참조 테이블" dataDxfId="151"/>
    <tableColumn id="3" xr3:uid="{00000000-0010-0000-0600-000003000000}" name="설명" dataDxfId="150"/>
    <tableColumn id="4" xr3:uid="{00000000-0010-0000-0600-000004000000}" name="Value 1당 가치" dataDxfId="149"/>
    <tableColumn id="5" xr3:uid="{00000000-0010-0000-0600-000005000000}" name="OP계수" dataDxfId="148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7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6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5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44">
      <calculatedColumnFormula array="1">표27[최종 DPS]</calculatedColumnFormula>
    </tableColumn>
    <tableColumn id="10" xr3:uid="{00000000-0010-0000-0900-00000A000000}" name="예상 전투 시간" dataDxfId="143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42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41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40">
  <autoFilter ref="H12:L13" xr:uid="{00000000-0009-0000-0100-000019000000}"/>
  <tableColumns count="5">
    <tableColumn id="1" xr3:uid="{00000000-0010-0000-0B00-000001000000}" name="직접 공격 DPS" dataDxfId="139">
      <calculatedColumnFormula array="1">CharacterAtkTable[ChargeRigidDmg1]/CharacterAtkTable[SwingCooldown]</calculatedColumnFormula>
    </tableColumn>
    <tableColumn id="2" xr3:uid="{00000000-0010-0000-0B00-000002000000}" name="직접 차징 DPS" dataDxfId="138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7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6">
      <calculatedColumnFormula array="1">CharacterAtkTable[EnemyProjectileDmg]*표26[적에게 튕김 기댓값]</calculatedColumnFormula>
    </tableColumn>
    <tableColumn id="5" xr3:uid="{00000000-0010-0000-0B00-000005000000}" name="차징공격 DPS" dataDxfId="135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34"/>
    <tableColumn id="2" xr3:uid="{00000000-0010-0000-0D00-000002000000}" name="최종 DPS" dataDxfId="133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32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31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30" dataDxfId="129">
  <autoFilter ref="B45:F54" xr:uid="{00000000-0009-0000-0100-00001C000000}"/>
  <tableColumns count="5">
    <tableColumn id="1" xr3:uid="{00000000-0010-0000-0F00-000001000000}" name="트리거" dataDxfId="128"/>
    <tableColumn id="2" xr3:uid="{00000000-0010-0000-0F00-000002000000}" name="발동 여부" dataDxfId="127"/>
    <tableColumn id="3" xr3:uid="{00000000-0010-0000-0F00-000003000000}" name="발동에 걸리는 시간" dataDxfId="126"/>
    <tableColumn id="4" xr3:uid="{00000000-0010-0000-0F00-000004000000}" name="발동율" dataDxfId="125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24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23">
  <autoFilter ref="B57:F66" xr:uid="{00000000-0009-0000-0100-00001D000000}"/>
  <tableColumns count="5">
    <tableColumn id="1" xr3:uid="{00000000-0010-0000-1000-000001000000}" name="특수 이펙트 명칭" dataDxfId="122"/>
    <tableColumn id="2" xr3:uid="{00000000-0010-0000-1000-000002000000}" name="열1" dataDxfId="121"/>
    <tableColumn id="3" xr3:uid="{00000000-0010-0000-1000-000003000000}" name="설명" dataDxfId="120"/>
    <tableColumn id="4" xr3:uid="{00000000-0010-0000-1000-000004000000}" name="1당 가치" dataDxfId="119">
      <calculatedColumnFormula>E14</calculatedColumnFormula>
    </tableColumn>
    <tableColumn id="5" xr3:uid="{00000000-0010-0000-1000-000005000000}" name="OP계수" dataDxfId="118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7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6"/>
    <tableColumn id="3" xr3:uid="{00000000-0010-0000-1100-000003000000}" name="value"/>
    <tableColumn id="4" xr3:uid="{00000000-0010-0000-1100-000004000000}" name="#설명" dataDxfId="115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14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13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12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11"/>
    <tableColumn id="7" xr3:uid="{00000000-0010-0000-1300-000007000000}" name="SwingCooldown" dataDxfId="110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9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8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7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6"/>
    <tableColumn id="14" xr3:uid="{00000000-0010-0000-1400-00000E000000}" name="#드랍테이블2" dataDxfId="105"/>
    <tableColumn id="15" xr3:uid="{00000000-0010-0000-1400-00000F000000}" name="#드랍테이블3" dataDxfId="104"/>
    <tableColumn id="16" xr3:uid="{00000000-0010-0000-1400-000010000000}" name="#드랍테이블4" dataDxfId="103"/>
    <tableColumn id="17" xr3:uid="{00000000-0010-0000-1400-000011000000}" name="#드랍테이블5" dataDxfId="102"/>
    <tableColumn id="18" xr3:uid="{00000000-0010-0000-1400-000012000000}" name="#드랍테이블6" dataDxfId="101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100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9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7" totalsRowShown="0">
  <autoFilter ref="B2:V27" xr:uid="{00000000-0009-0000-0100-000012000000}"/>
  <tableColumns count="21">
    <tableColumn id="1" xr3:uid="{00000000-0010-0000-1600-000001000000}" name="Index"/>
    <tableColumn id="2" xr3:uid="{00000000-0010-0000-1600-000002000000}" name="Name" dataDxfId="98"/>
    <tableColumn id="19" xr3:uid="{00000000-0010-0000-1600-000013000000}" name="#desc" dataDxfId="97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6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5"/>
    <tableColumn id="17" xr3:uid="{00000000-0010-0000-1600-000011000000}" name="#기준 적 체력 비율"/>
    <tableColumn id="18" xr3:uid="{00000000-0010-0000-1600-000012000000}" name="#평균 드랍 골드" dataDxfId="94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40" totalsRowShown="0">
  <autoFilter ref="B2:I140" xr:uid="{00000000-0009-0000-0100-000015000000}"/>
  <sortState xmlns:xlrd2="http://schemas.microsoft.com/office/spreadsheetml/2017/richdata2" ref="B3:I89">
    <sortCondition ref="D3:D89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93"/>
    <tableColumn id="3" xr3:uid="{00000000-0010-0000-1700-000003000000}" name="ShootDataId" dataDxfId="92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91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9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9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8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7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6" dataDxfId="85">
  <autoFilter ref="B2:R33" xr:uid="{00000000-0009-0000-0100-000004000000}"/>
  <tableColumns count="17">
    <tableColumn id="1" xr3:uid="{00000000-0010-0000-1A00-000001000000}" name="#Index 참조용" dataDxfId="84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83">
      <calculatedColumnFormula>INDEX(LocaleTable[LocaleKR],MATCH(ItemTable[[#This Row],[Name]],LocaleTable[StringKey],0))</calculatedColumnFormula>
    </tableColumn>
    <tableColumn id="13" xr3:uid="{00000000-0010-0000-1A00-00000D000000}" name="#설명" dataDxfId="82">
      <calculatedColumnFormula>INDEX(LocaleTable[LocaleKR],MATCH(ItemTable[[#This Row],[Desc]],LocaleTable[StringKey],0))</calculatedColumnFormula>
    </tableColumn>
    <tableColumn id="12" xr3:uid="{00000000-0010-0000-1A00-00000C000000}" name="#이로운효과" dataDxfId="81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80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9">
      <calculatedColumnFormula>ItemTable[[#This Row],['#Index 참조용]]</calculatedColumnFormula>
    </tableColumn>
    <tableColumn id="2" xr3:uid="{00000000-0010-0000-1A00-000002000000}" name="Name" dataDxfId="78"/>
    <tableColumn id="3" xr3:uid="{00000000-0010-0000-1A00-000003000000}" name="Desc" dataDxfId="77"/>
    <tableColumn id="18" xr3:uid="{00000000-0010-0000-1A00-000012000000}" name="PlusDesc" dataDxfId="76"/>
    <tableColumn id="19" xr3:uid="{00000000-0010-0000-1A00-000013000000}" name="MinusDesc" dataDxfId="75"/>
    <tableColumn id="4" xr3:uid="{00000000-0010-0000-1A00-000004000000}" name="GradeType" dataDxfId="74"/>
    <tableColumn id="10" xr3:uid="{00000000-0010-0000-1A00-00000A000000}" name="MaxStack" dataDxfId="73"/>
    <tableColumn id="5" xr3:uid="{00000000-0010-0000-1A00-000005000000}" name="Value" dataDxfId="72"/>
    <tableColumn id="6" xr3:uid="{00000000-0010-0000-1A00-000006000000}" name="CostHp" dataDxfId="71"/>
    <tableColumn id="7" xr3:uid="{00000000-0010-0000-1A00-000007000000}" name="CostGold" dataDxfId="70"/>
    <tableColumn id="8" xr3:uid="{00000000-0010-0000-1A00-000008000000}" name="ItemEffectDataId" dataDxfId="69"/>
    <tableColumn id="9" xr3:uid="{00000000-0010-0000-1A00-000009000000}" name="ItemIconPath" dataDxfId="68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7">
  <autoFilter ref="B2:S41" xr:uid="{00000000-0009-0000-0100-000001000000}"/>
  <tableColumns count="18">
    <tableColumn id="2" xr3:uid="{00000000-0010-0000-1B00-000002000000}" name="#이름" dataDxfId="66">
      <calculatedColumnFormula>INDEX(ItemTable['#이름],MATCH(ItemEffectTable[[#This Row],[Index]],ItemTable[ItemEffectDataId],0))</calculatedColumnFormula>
    </tableColumn>
    <tableColumn id="3" xr3:uid="{00000000-0010-0000-1B00-000003000000}" name="#Grade" dataDxfId="65">
      <calculatedColumnFormula>INDEX(ItemTable[GradeType],MATCH(ItemEffectTable[[#This Row],[Index]],ItemTable[ItemEffectDataId],0))</calculatedColumnFormula>
    </tableColumn>
    <tableColumn id="4" xr3:uid="{00000000-0010-0000-1B00-000004000000}" name="Index" dataDxfId="64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63"/>
    <tableColumn id="12" xr3:uid="{00000000-0010-0000-1B00-00000C000000}" name="ConditionValue"/>
    <tableColumn id="1" xr3:uid="{00000000-0010-0000-1B00-000001000000}" name="#트리거1" dataDxfId="62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61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60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9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8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7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6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5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54">
  <autoFilter ref="B2:U35" xr:uid="{00000000-0009-0000-0100-000016000000}"/>
  <tableColumns count="20">
    <tableColumn id="3" xr3:uid="{00000000-0010-0000-1C00-000003000000}" name="#아이템 명칭" dataDxfId="53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52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51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50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9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8"/>
    <tableColumn id="8" xr3:uid="{00000000-0010-0000-1C00-000008000000}" name="#효력 가치 판단" dataDxfId="47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6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5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44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43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42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41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40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9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8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7">
  <autoFilter ref="B2:N25" xr:uid="{00000000-0009-0000-0100-000017000000}"/>
  <tableColumns count="13">
    <tableColumn id="4" xr3:uid="{00000000-0010-0000-1D00-000004000000}" name="Index" dataDxfId="36"/>
    <tableColumn id="7" xr3:uid="{00000000-0010-0000-1D00-000007000000}" name="#명칭" dataDxfId="35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34"/>
    <tableColumn id="13" xr3:uid="{00000000-0010-0000-1D00-00000D000000}" name="Param2"/>
    <tableColumn id="2" xr3:uid="{00000000-0010-0000-1D00-000002000000}" name="#Param2설명" dataDxfId="33"/>
    <tableColumn id="14" xr3:uid="{00000000-0010-0000-1D00-00000E000000}" name="Param3"/>
    <tableColumn id="3" xr3:uid="{00000000-0010-0000-1D00-000003000000}" name="#Param3설명" dataDxfId="32"/>
    <tableColumn id="8" xr3:uid="{00000000-0010-0000-1D00-000008000000}" name="Param4" dataDxfId="31"/>
    <tableColumn id="9" xr3:uid="{00000000-0010-0000-1D00-000009000000}" name="#Param3설명3" dataDxfId="30"/>
    <tableColumn id="10" xr3:uid="{00000000-0010-0000-1D00-00000A000000}" name="#가치판단" dataDxfId="29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8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7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6"/>
    <tableColumn id="3" xr3:uid="{00000000-0010-0000-1E00-000003000000}" name="#리소스 유형" dataDxfId="25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24"/>
    <tableColumn id="3" xr3:uid="{00000000-0010-0000-1F00-000003000000}" name="Duration"/>
    <tableColumn id="4" xr3:uid="{00000000-0010-0000-1F00-000004000000}" name="#한국어" dataDxfId="23">
      <calculatedColumnFormula>INDEX(LocaleTable[LocaleKR],MATCH(표31[[#This Row],[LocaleId]],LocaleTable[StringKey],0))</calculatedColumnFormula>
    </tableColumn>
    <tableColumn id="5" xr3:uid="{00000000-0010-0000-1F00-000005000000}" name="#영어" dataDxfId="22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7" totalsRowShown="0" headerRowDxfId="21" dataDxfId="20">
  <autoFilter ref="B2:I237" xr:uid="{00000000-0009-0000-0100-000003000000}"/>
  <tableColumns count="8">
    <tableColumn id="1" xr3:uid="{00000000-0010-0000-2000-000001000000}" name="StringKey" dataDxfId="19"/>
    <tableColumn id="2" xr3:uid="{00000000-0010-0000-2000-000002000000}" name="LocaleKR" dataDxfId="18"/>
    <tableColumn id="3" xr3:uid="{00000000-0010-0000-2000-000003000000}" name="LocaleUS" dataDxfId="17"/>
    <tableColumn id="6" xr3:uid="{00000000-0010-0000-2000-000006000000}" name="#컴포넌트1" dataDxfId="16"/>
    <tableColumn id="7" xr3:uid="{00000000-0010-0000-2000-000007000000}" name="#컴포넌트2" dataDxfId="15"/>
    <tableColumn id="8" xr3:uid="{00000000-0010-0000-2000-000008000000}" name="#컴포넌트3" dataDxfId="14"/>
    <tableColumn id="9" xr3:uid="{00000000-0010-0000-2000-000009000000}" name="#컴포넌트4" dataDxfId="13"/>
    <tableColumn id="5" xr3:uid="{00000000-0010-0000-2000-000005000000}" name="#인덱스제너레이터" dataDxfId="12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13" sqref="Q13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284</v>
      </c>
      <c r="K5" s="2"/>
      <c r="O5" s="31" t="s">
        <v>550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533</v>
      </c>
      <c r="K6" s="11" t="s">
        <v>283</v>
      </c>
      <c r="L6" s="11" t="s">
        <v>280</v>
      </c>
      <c r="M6" s="11" t="s">
        <v>281</v>
      </c>
      <c r="O6" s="16" t="s">
        <v>371</v>
      </c>
      <c r="P6" s="16" t="s">
        <v>283</v>
      </c>
      <c r="Q6" s="16" t="s">
        <v>280</v>
      </c>
      <c r="R6" s="16" t="s">
        <v>281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285</v>
      </c>
      <c r="K7">
        <v>0</v>
      </c>
      <c r="L7">
        <v>3</v>
      </c>
      <c r="M7">
        <v>3</v>
      </c>
      <c r="O7" s="16" t="s">
        <v>373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286</v>
      </c>
      <c r="K8">
        <v>0</v>
      </c>
      <c r="L8">
        <v>6</v>
      </c>
      <c r="M8">
        <v>10</v>
      </c>
      <c r="O8" s="16" t="s">
        <v>374</v>
      </c>
      <c r="P8">
        <v>20</v>
      </c>
      <c r="Q8">
        <v>80</v>
      </c>
      <c r="R8">
        <v>150</v>
      </c>
    </row>
    <row r="9" spans="2:18">
      <c r="J9" t="s">
        <v>287</v>
      </c>
      <c r="K9">
        <f>SUBTOTAL(101,표20[박쥐])</f>
        <v>0</v>
      </c>
      <c r="L9">
        <f>SUBTOTAL(101,표20[일반])</f>
        <v>4.5</v>
      </c>
      <c r="M9">
        <f>SUBTOTAL(101,표20[정예])</f>
        <v>6.5</v>
      </c>
      <c r="O9" s="16" t="s">
        <v>376</v>
      </c>
      <c r="P9">
        <v>20</v>
      </c>
      <c r="Q9">
        <v>80</v>
      </c>
      <c r="R9">
        <v>150</v>
      </c>
    </row>
    <row r="11" spans="2:18">
      <c r="B11" s="2" t="s">
        <v>543</v>
      </c>
      <c r="C11" s="2"/>
      <c r="D11" s="2"/>
      <c r="J11" s="2" t="s">
        <v>372</v>
      </c>
      <c r="K11" s="5"/>
    </row>
    <row r="12" spans="2:18">
      <c r="B12" s="11" t="s">
        <v>371</v>
      </c>
      <c r="C12" s="11" t="s">
        <v>282</v>
      </c>
      <c r="D12" s="11" t="s">
        <v>283</v>
      </c>
      <c r="E12" s="11" t="s">
        <v>280</v>
      </c>
      <c r="F12" s="11" t="s">
        <v>281</v>
      </c>
      <c r="G12" s="11" t="s">
        <v>378</v>
      </c>
      <c r="H12" s="16"/>
      <c r="J12" s="11" t="s">
        <v>371</v>
      </c>
      <c r="K12" s="11" t="s">
        <v>377</v>
      </c>
      <c r="L12" s="11" t="s">
        <v>531</v>
      </c>
      <c r="M12" s="11" t="s">
        <v>532</v>
      </c>
    </row>
    <row r="13" spans="2:18">
      <c r="B13" s="11" t="s">
        <v>373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22.5</v>
      </c>
      <c r="J13" s="11" t="s">
        <v>373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22.5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112.5</v>
      </c>
      <c r="O13" s="11" t="s">
        <v>379</v>
      </c>
      <c r="P13" s="11">
        <f>FloorInfo[[#Totals],[층 완료 획득 골드]]/30</f>
        <v>18.016666666666666</v>
      </c>
    </row>
    <row r="14" spans="2:18">
      <c r="B14" s="11" t="s">
        <v>374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27</v>
      </c>
      <c r="J14" s="11" t="s">
        <v>374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27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162</v>
      </c>
      <c r="O14" s="11" t="s">
        <v>380</v>
      </c>
      <c r="P14" s="11">
        <f>FloorInfo[[#Totals],[층 완료 획득 골드]]/50</f>
        <v>10.81</v>
      </c>
    </row>
    <row r="15" spans="2:18">
      <c r="B15" s="11" t="s">
        <v>375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38</v>
      </c>
      <c r="J15" s="11" t="s">
        <v>376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38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266</v>
      </c>
      <c r="O15" s="11" t="s">
        <v>1158</v>
      </c>
      <c r="P15">
        <f>FloorInfo[[#Totals],[층 완료 획득 골드]]/((30+50)/2)</f>
        <v>13.512499999999999</v>
      </c>
    </row>
    <row r="16" spans="2:18">
      <c r="B16" s="11"/>
      <c r="J16" s="11" t="s">
        <v>287</v>
      </c>
      <c r="M16">
        <f>SUBTOTAL(109,FloorInfo[층 완료 획득 골드])</f>
        <v>540.5</v>
      </c>
    </row>
    <row r="17" spans="2:17">
      <c r="B17" s="11"/>
    </row>
    <row r="18" spans="2:17">
      <c r="B18" s="11"/>
      <c r="J18" s="31" t="s">
        <v>541</v>
      </c>
      <c r="K18" s="5"/>
    </row>
    <row r="19" spans="2:17">
      <c r="B19" s="11"/>
      <c r="J19" s="16" t="s">
        <v>371</v>
      </c>
      <c r="K19" s="16" t="s">
        <v>546</v>
      </c>
      <c r="L19" s="16" t="s">
        <v>545</v>
      </c>
      <c r="M19" s="16" t="s">
        <v>547</v>
      </c>
      <c r="N19" s="16" t="s">
        <v>544</v>
      </c>
      <c r="O19" s="16" t="s">
        <v>548</v>
      </c>
      <c r="P19" s="16" t="s">
        <v>549</v>
      </c>
      <c r="Q19" s="16" t="s">
        <v>542</v>
      </c>
    </row>
    <row r="20" spans="2:17">
      <c r="B20" s="11"/>
      <c r="J20" s="16" t="s">
        <v>373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10</v>
      </c>
      <c r="L20">
        <f>FloorEnemyHPInfo[[#This Row],[박쥐 평균 개수]]*INDEX(EnemyHPInfo[박쥐],MATCH(FloorEnemyHPInfo[[#This Row],[층]],EnemyHPInfo[층]))</f>
        <v>200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25</v>
      </c>
      <c r="N20">
        <f>FloorEnemyHPInfo[[#This Row],[일반 평균 개수]]*INDEX(EnemyHPInfo[일반],MATCH(FloorEnemyHPInfo[[#This Row],[층]],EnemyHPInfo[층]))</f>
        <v>2000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2200</v>
      </c>
    </row>
    <row r="21" spans="2:17">
      <c r="B21" s="11"/>
      <c r="J21" s="16" t="s">
        <v>374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12">
      <c r="B33" s="11"/>
    </row>
    <row r="34" spans="2:12">
      <c r="B34" s="11"/>
      <c r="J34" s="11"/>
      <c r="K34" s="11"/>
      <c r="L34" s="11"/>
    </row>
    <row r="35" spans="2:12">
      <c r="B35" s="11"/>
    </row>
    <row r="36" spans="2:12">
      <c r="B36" s="11"/>
    </row>
    <row r="37" spans="2:12">
      <c r="B37" s="11"/>
    </row>
    <row r="38" spans="2:12">
      <c r="B38" s="11"/>
    </row>
    <row r="39" spans="2:12">
      <c r="B39" s="11"/>
    </row>
    <row r="40" spans="2:12">
      <c r="B40" s="11"/>
    </row>
    <row r="41" spans="2:12">
      <c r="B41" s="11"/>
    </row>
    <row r="42" spans="2:1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zoomScale="113" zoomScaleNormal="85" zoomScaleSheetLayoutView="100" workbookViewId="0">
      <selection activeCell="H35" sqref="H3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605</v>
      </c>
      <c r="C5" s="8" t="s">
        <v>606</v>
      </c>
      <c r="H5" s="2" t="s">
        <v>551</v>
      </c>
      <c r="N5" s="2" t="s">
        <v>56</v>
      </c>
    </row>
    <row r="6" spans="1:17">
      <c r="B6" s="11" t="s">
        <v>613</v>
      </c>
      <c r="C6" s="11" t="s">
        <v>614</v>
      </c>
      <c r="D6" s="11" t="s">
        <v>686</v>
      </c>
      <c r="H6" t="s">
        <v>21</v>
      </c>
      <c r="I6" t="s">
        <v>199</v>
      </c>
      <c r="J6" t="s">
        <v>166</v>
      </c>
      <c r="N6" t="s">
        <v>52</v>
      </c>
      <c r="O6" s="11" t="s">
        <v>288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34.036568213783411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603</v>
      </c>
      <c r="H11" s="56" t="s">
        <v>530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597</v>
      </c>
      <c r="I12" s="11" t="s">
        <v>598</v>
      </c>
      <c r="J12" s="11" t="s">
        <v>599</v>
      </c>
      <c r="K12" t="s">
        <v>591</v>
      </c>
      <c r="L12" t="s">
        <v>592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713</v>
      </c>
      <c r="I15" t="s">
        <v>593</v>
      </c>
      <c r="J15" t="s">
        <v>594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336</v>
      </c>
      <c r="C17" s="9" t="s">
        <v>143</v>
      </c>
      <c r="D17" s="11" t="s">
        <v>580</v>
      </c>
      <c r="E17" s="14">
        <f>50/0.8</f>
        <v>62.5</v>
      </c>
      <c r="F17" s="61">
        <v>0</v>
      </c>
    </row>
    <row r="18" spans="1:15">
      <c r="A18" s="9"/>
      <c r="B18" s="58" t="s">
        <v>582</v>
      </c>
      <c r="C18" s="9" t="s">
        <v>143</v>
      </c>
      <c r="D18" s="11" t="s">
        <v>583</v>
      </c>
      <c r="E18" s="19">
        <v>100</v>
      </c>
      <c r="F18" s="61">
        <v>0</v>
      </c>
      <c r="H18" t="s">
        <v>595</v>
      </c>
      <c r="I18" t="s">
        <v>596</v>
      </c>
      <c r="J18" s="11" t="s">
        <v>604</v>
      </c>
    </row>
    <row r="19" spans="1:15">
      <c r="A19" s="9"/>
      <c r="B19" t="s">
        <v>135</v>
      </c>
      <c r="C19" s="9" t="s">
        <v>133</v>
      </c>
      <c r="D19" s="11" t="s">
        <v>584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602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601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600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808</v>
      </c>
      <c r="C25" s="9" t="s">
        <v>9</v>
      </c>
      <c r="D25" s="16" t="s">
        <v>812</v>
      </c>
      <c r="E25" s="19">
        <v>50</v>
      </c>
      <c r="F25" s="61">
        <v>0</v>
      </c>
    </row>
    <row r="26" spans="1:15">
      <c r="A26" s="9"/>
      <c r="B26" s="71" t="s">
        <v>809</v>
      </c>
      <c r="C26" s="9" t="s">
        <v>9</v>
      </c>
      <c r="D26" s="16" t="s">
        <v>811</v>
      </c>
      <c r="E26" s="19">
        <v>30</v>
      </c>
      <c r="F26" s="61">
        <v>0</v>
      </c>
    </row>
    <row r="27" spans="1:15">
      <c r="A27" s="9"/>
      <c r="B27" s="71" t="s">
        <v>805</v>
      </c>
      <c r="C27" s="9" t="s">
        <v>9</v>
      </c>
      <c r="D27" s="16" t="s">
        <v>810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585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356</v>
      </c>
      <c r="C29" s="9" t="s">
        <v>9</v>
      </c>
      <c r="D29" s="11" t="s">
        <v>586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385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675</v>
      </c>
    </row>
    <row r="45" spans="1:6">
      <c r="B45" s="11" t="s">
        <v>685</v>
      </c>
      <c r="C45" s="11" t="s">
        <v>687</v>
      </c>
      <c r="D45" s="11" t="s">
        <v>688</v>
      </c>
      <c r="E45" s="11" t="s">
        <v>675</v>
      </c>
      <c r="F45" s="11" t="s">
        <v>603</v>
      </c>
    </row>
    <row r="46" spans="1:6">
      <c r="B46" s="9" t="s">
        <v>676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677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678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679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680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681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682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683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684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675</v>
      </c>
    </row>
    <row r="57" spans="2:6">
      <c r="B57" s="11" t="s">
        <v>702</v>
      </c>
      <c r="C57" t="s">
        <v>704</v>
      </c>
      <c r="D57" s="11" t="s">
        <v>705</v>
      </c>
      <c r="E57" s="11" t="s">
        <v>703</v>
      </c>
      <c r="F57" s="11" t="s">
        <v>603</v>
      </c>
    </row>
    <row r="58" spans="2:6">
      <c r="B58" s="16" t="s">
        <v>419</v>
      </c>
      <c r="E58" s="19" cm="1">
        <f t="array" ref="E58">밸런스시트31[체력 상승량]</f>
        <v>1.2</v>
      </c>
    </row>
    <row r="59" spans="2:6">
      <c r="B59" s="16" t="s">
        <v>340</v>
      </c>
      <c r="E59" s="19"/>
    </row>
    <row r="60" spans="2:6">
      <c r="B60" s="16" t="s">
        <v>327</v>
      </c>
      <c r="E60" s="19"/>
    </row>
    <row r="61" spans="2:6">
      <c r="B61" s="47" t="s">
        <v>436</v>
      </c>
      <c r="E61" s="53">
        <v>1</v>
      </c>
    </row>
    <row r="62" spans="2:6">
      <c r="B62" s="16" t="s">
        <v>312</v>
      </c>
      <c r="E62" s="19"/>
    </row>
    <row r="63" spans="2:6">
      <c r="B63" s="16" t="s">
        <v>333</v>
      </c>
      <c r="E63" s="19"/>
    </row>
    <row r="64" spans="2:6">
      <c r="B64" s="16" t="s">
        <v>328</v>
      </c>
      <c r="E64" s="19"/>
    </row>
    <row r="65" spans="2:5">
      <c r="B65" s="16" t="s">
        <v>338</v>
      </c>
      <c r="E65" s="19"/>
    </row>
    <row r="66" spans="2:5">
      <c r="B66" s="20" t="s">
        <v>430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24" sqref="G24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356</v>
      </c>
      <c r="H2" t="s">
        <v>5</v>
      </c>
      <c r="I2" s="16" t="s">
        <v>336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6.7</v>
      </c>
      <c r="G3">
        <v>4</v>
      </c>
      <c r="H3">
        <v>1.5</v>
      </c>
      <c r="I3">
        <v>1.7</v>
      </c>
      <c r="J3">
        <v>0.3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C1"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337</v>
      </c>
      <c r="E2" s="6" t="s">
        <v>188</v>
      </c>
      <c r="F2" s="37" t="s">
        <v>435</v>
      </c>
      <c r="G2" s="6" t="s">
        <v>205</v>
      </c>
      <c r="H2" s="33" t="s">
        <v>807</v>
      </c>
      <c r="I2" s="33" t="s">
        <v>809</v>
      </c>
      <c r="J2" s="33" t="s">
        <v>805</v>
      </c>
      <c r="K2" s="33" t="s">
        <v>398</v>
      </c>
      <c r="L2" s="37" t="s">
        <v>391</v>
      </c>
      <c r="M2" s="6" t="s">
        <v>15</v>
      </c>
      <c r="N2" s="7" t="s">
        <v>132</v>
      </c>
      <c r="O2" s="7" t="s">
        <v>137</v>
      </c>
      <c r="P2" s="38" t="s">
        <v>396</v>
      </c>
      <c r="Q2" s="28" t="s">
        <v>397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3" sqref="D3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373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C7" sqref="C7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341</v>
      </c>
      <c r="H2" t="s">
        <v>25</v>
      </c>
      <c r="I2" t="s">
        <v>49</v>
      </c>
    </row>
    <row r="3" spans="1:11">
      <c r="B3" s="23">
        <v>9001</v>
      </c>
      <c r="C3" s="25" t="s">
        <v>297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31"/>
  <sheetViews>
    <sheetView zoomScaleNormal="75" zoomScaleSheetLayoutView="100" workbookViewId="0">
      <selection activeCell="C43" sqref="C43"/>
    </sheetView>
  </sheetViews>
  <sheetFormatPr defaultColWidth="8.625" defaultRowHeight="16.5"/>
  <cols>
    <col min="2" max="2" width="8.625" bestFit="1" customWidth="1"/>
    <col min="3" max="3" width="38.125" customWidth="1"/>
    <col min="4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0" width="17" customWidth="1"/>
    <col min="11" max="11" width="19.12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125" bestFit="1" customWidth="1"/>
    <col min="19" max="19" width="18.125" bestFit="1" customWidth="1"/>
    <col min="20" max="20" width="47.125" customWidth="1"/>
    <col min="21" max="21" width="20.625" bestFit="1" customWidth="1"/>
    <col min="22" max="22" width="17.625" bestFit="1" customWidth="1"/>
  </cols>
  <sheetData>
    <row r="1" spans="2:22">
      <c r="B1" t="s">
        <v>24</v>
      </c>
      <c r="C1" s="16" t="s">
        <v>316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300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315</v>
      </c>
      <c r="D2" s="12" t="s">
        <v>1010</v>
      </c>
      <c r="E2" t="s">
        <v>68</v>
      </c>
      <c r="F2" s="16" t="s">
        <v>292</v>
      </c>
      <c r="G2" t="s">
        <v>172</v>
      </c>
      <c r="H2" t="s">
        <v>174</v>
      </c>
      <c r="I2" s="16" t="s">
        <v>320</v>
      </c>
      <c r="J2" t="s">
        <v>0</v>
      </c>
      <c r="K2" s="16" t="s">
        <v>301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N3">
        <v>0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410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330</v>
      </c>
      <c r="N4">
        <v>1.8</v>
      </c>
      <c r="O4">
        <v>600</v>
      </c>
      <c r="P4">
        <v>0</v>
      </c>
      <c r="Q4">
        <v>3</v>
      </c>
      <c r="R4">
        <v>6</v>
      </c>
      <c r="S4">
        <v>501</v>
      </c>
      <c r="T4" s="16" t="s">
        <v>400</v>
      </c>
      <c r="U4">
        <v>0.8</v>
      </c>
      <c r="V4">
        <f>AVERAGE(EnemyGameData[[#This Row],[GoldDropMin]],EnemyGameData[[#This Row],[GoldDropMax]])</f>
        <v>4.5</v>
      </c>
    </row>
    <row r="5" spans="2:22">
      <c r="B5">
        <v>502</v>
      </c>
      <c r="C5" s="41" t="s">
        <v>411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Row],[SpacingRad]]+3)</f>
        <v>8</v>
      </c>
      <c r="O5">
        <v>601</v>
      </c>
      <c r="P5">
        <v>0</v>
      </c>
      <c r="Q5">
        <v>3</v>
      </c>
      <c r="R5">
        <v>6</v>
      </c>
      <c r="S5">
        <v>501</v>
      </c>
      <c r="T5" s="16" t="s">
        <v>401</v>
      </c>
      <c r="U5">
        <v>1</v>
      </c>
      <c r="V5">
        <f>AVERAGE(EnemyGameData[[#This Row],[GoldDropMin]],EnemyGameData[[#This Row],[GoldDropMax]])</f>
        <v>4.5</v>
      </c>
    </row>
    <row r="6" spans="2:22">
      <c r="B6">
        <v>503</v>
      </c>
      <c r="C6" s="41" t="s">
        <v>412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Row],[SpacingRad]]+2)</f>
        <v>11</v>
      </c>
      <c r="O6">
        <v>602</v>
      </c>
      <c r="P6">
        <v>0</v>
      </c>
      <c r="Q6">
        <v>3</v>
      </c>
      <c r="R6">
        <v>6</v>
      </c>
      <c r="S6">
        <v>501</v>
      </c>
      <c r="T6" s="16" t="s">
        <v>402</v>
      </c>
      <c r="U6">
        <v>0.8</v>
      </c>
      <c r="V6">
        <f>AVERAGE(EnemyGameData[[#This Row],[GoldDropMin]],EnemyGameData[[#This Row],[GoldDropMax]])</f>
        <v>4.5</v>
      </c>
    </row>
    <row r="7" spans="2:22" s="20" customFormat="1">
      <c r="B7" s="20" t="s">
        <v>403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Row],[SpacingRad]]+3)</f>
        <v>7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314</v>
      </c>
      <c r="U7" s="20">
        <v>0.8</v>
      </c>
      <c r="V7">
        <f>AVERAGE(EnemyGameData[[#This Row],[GoldDropMin]],EnemyGameData[[#This Row],[GoldDropMax]])</f>
        <v>0</v>
      </c>
    </row>
    <row r="8" spans="2:22" s="20" customFormat="1">
      <c r="B8" s="20" t="s">
        <v>404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Row],[SpacingRad]]+3)</f>
        <v>7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314</v>
      </c>
      <c r="U8" s="20">
        <v>1</v>
      </c>
      <c r="V8">
        <f>AVERAGE(EnemyGameData[[#This Row],[GoldDropMin]],EnemyGameData[[#This Row],[GoldDropMax]])</f>
        <v>0</v>
      </c>
    </row>
    <row r="9" spans="2:22">
      <c r="B9">
        <v>506</v>
      </c>
      <c r="C9" s="41" t="s">
        <v>413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Row],[SpacingRad]]+3)</f>
        <v>7</v>
      </c>
      <c r="O9">
        <v>605</v>
      </c>
      <c r="P9">
        <v>0</v>
      </c>
      <c r="Q9">
        <v>3</v>
      </c>
      <c r="R9">
        <v>6</v>
      </c>
      <c r="S9">
        <v>501</v>
      </c>
      <c r="T9" s="16" t="s">
        <v>405</v>
      </c>
      <c r="U9">
        <v>1</v>
      </c>
      <c r="V9">
        <f>AVERAGE(EnemyGameData[[#This Row],[GoldDropMin]],EnemyGameData[[#This Row],[GoldDropMax]])</f>
        <v>4.5</v>
      </c>
    </row>
    <row r="10" spans="2:22">
      <c r="B10">
        <v>508</v>
      </c>
      <c r="C10" s="14" t="s">
        <v>414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1.8</v>
      </c>
      <c r="O10">
        <v>607</v>
      </c>
      <c r="P10">
        <v>0</v>
      </c>
      <c r="Q10">
        <v>3</v>
      </c>
      <c r="R10">
        <v>6</v>
      </c>
      <c r="S10">
        <v>501</v>
      </c>
      <c r="T10" s="16" t="s">
        <v>408</v>
      </c>
      <c r="U10">
        <v>0.8</v>
      </c>
      <c r="V10">
        <f>AVERAGE(EnemyGameData[[#This Row],[GoldDropMin]],EnemyGameData[[#This Row],[GoldDropMax]])</f>
        <v>4.5</v>
      </c>
    </row>
    <row r="11" spans="2:22">
      <c r="B11">
        <v>550</v>
      </c>
      <c r="C11" s="13" t="s">
        <v>415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395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1.3</v>
      </c>
      <c r="O11">
        <v>650</v>
      </c>
      <c r="P11">
        <v>0</v>
      </c>
      <c r="Q11">
        <v>3</v>
      </c>
      <c r="R11">
        <v>10</v>
      </c>
      <c r="S11">
        <v>501</v>
      </c>
      <c r="T11" s="16" t="s">
        <v>409</v>
      </c>
      <c r="U11">
        <v>1.4</v>
      </c>
      <c r="V11">
        <f>AVERAGE(EnemyGameData[[#This Row],[GoldDropMin]],EnemyGameData[[#This Row],[GoldDropMax]])</f>
        <v>6.5</v>
      </c>
    </row>
    <row r="12" spans="2:22">
      <c r="B12" s="39">
        <v>551</v>
      </c>
      <c r="C12" s="40" t="s">
        <v>416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Row],[SpacingRad]]+3)</f>
        <v>8</v>
      </c>
      <c r="O12" s="39">
        <v>651</v>
      </c>
      <c r="P12" s="39">
        <v>0</v>
      </c>
      <c r="Q12" s="39">
        <v>3</v>
      </c>
      <c r="R12" s="39">
        <v>6</v>
      </c>
      <c r="S12" s="39">
        <v>501</v>
      </c>
      <c r="T12" s="39" t="s">
        <v>401</v>
      </c>
      <c r="U12" s="39">
        <v>1.6</v>
      </c>
      <c r="V12">
        <f>AVERAGE(EnemyGameData[[#This Row],[GoldDropMin]],EnemyGameData[[#This Row],[GoldDropMax]])</f>
        <v>4.5</v>
      </c>
    </row>
    <row r="13" spans="2:22">
      <c r="B13">
        <v>552</v>
      </c>
      <c r="C13" s="13" t="s">
        <v>417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Row],[SpacingRad]]+3)</f>
        <v>11</v>
      </c>
      <c r="O13">
        <v>652</v>
      </c>
      <c r="P13">
        <v>0</v>
      </c>
      <c r="Q13">
        <v>3</v>
      </c>
      <c r="R13" s="11">
        <v>10</v>
      </c>
      <c r="S13">
        <v>501</v>
      </c>
      <c r="T13" s="16" t="s">
        <v>407</v>
      </c>
      <c r="U13">
        <v>1.4</v>
      </c>
      <c r="V13">
        <f>AVERAGE(EnemyGameData[[#This Row],[GoldDropMin]],EnemyGameData[[#This Row],[GoldDropMax]])</f>
        <v>6.5</v>
      </c>
    </row>
    <row r="14" spans="2:22">
      <c r="B14">
        <v>553</v>
      </c>
      <c r="C14" s="14" t="s">
        <v>418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Row],[SpacingRad]]+3)</f>
        <v>7</v>
      </c>
      <c r="O14">
        <v>604</v>
      </c>
      <c r="P14">
        <v>0</v>
      </c>
      <c r="Q14">
        <v>3</v>
      </c>
      <c r="R14">
        <v>10</v>
      </c>
      <c r="S14">
        <v>501</v>
      </c>
      <c r="T14" s="16" t="s">
        <v>406</v>
      </c>
      <c r="U14">
        <v>1.6</v>
      </c>
      <c r="V14">
        <f>AVERAGE(EnemyGameData[[#This Row],[GoldDropMin]],EnemyGameData[[#This Row],[GoldDropMax]])</f>
        <v>6.5</v>
      </c>
    </row>
    <row r="15" spans="2:22">
      <c r="B15" s="20" t="s">
        <v>399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0</v>
      </c>
      <c r="L15" s="20">
        <v>0</v>
      </c>
      <c r="M15" s="20" t="s">
        <v>37</v>
      </c>
      <c r="N15">
        <v>0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313</v>
      </c>
      <c r="U15" s="20">
        <v>0.2</v>
      </c>
      <c r="V15">
        <f>AVERAGE(EnemyGameData[[#This Row],[GoldDropMin]],EnemyGameData[[#This Row],[GoldDropMax]])</f>
        <v>0</v>
      </c>
    </row>
    <row r="16" spans="2:22">
      <c r="B16" s="84">
        <v>600</v>
      </c>
      <c r="C16" s="53" t="s">
        <v>1008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 s="86">
        <v>0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402</v>
      </c>
      <c r="U16" s="84"/>
      <c r="V16">
        <f>AVERAGE(EnemyGameData[[#This Row],[GoldDropMin]],EnemyGameData[[#This Row],[GoldDropMax]])</f>
        <v>0</v>
      </c>
    </row>
    <row r="17" spans="2:22">
      <c r="B17" s="84">
        <v>601</v>
      </c>
      <c r="C17" s="53" t="s">
        <v>1009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 s="86">
        <v>0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402</v>
      </c>
      <c r="U17" s="84"/>
      <c r="V17">
        <f>AVERAGE(EnemyGameData[[#This Row],[GoldDropMin]],EnemyGameData[[#This Row],[GoldDropMax]])</f>
        <v>0</v>
      </c>
    </row>
    <row r="18" spans="2:22">
      <c r="B18" s="84">
        <v>602</v>
      </c>
      <c r="C18" s="53" t="s">
        <v>1007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402</v>
      </c>
      <c r="U18" s="84"/>
      <c r="V18">
        <f>AVERAGE(EnemyGameData[[#This Row],[GoldDropMin]],EnemyGameData[[#This Row],[GoldDropMax]])</f>
        <v>0</v>
      </c>
    </row>
    <row r="19" spans="2:22">
      <c r="B19" s="84">
        <v>701</v>
      </c>
      <c r="C19" s="53" t="s">
        <v>1159</v>
      </c>
      <c r="D19" s="13"/>
      <c r="E19">
        <f>표14[적 기준 체력]*EnemyGameData[[#This Row],['#기준 적 체력 비율]]</f>
        <v>100</v>
      </c>
      <c r="F19">
        <v>16</v>
      </c>
      <c r="G19" t="s">
        <v>181</v>
      </c>
      <c r="H19">
        <v>4</v>
      </c>
      <c r="I19">
        <v>1.4</v>
      </c>
      <c r="J19">
        <v>2</v>
      </c>
      <c r="K19">
        <v>0</v>
      </c>
      <c r="L19">
        <v>1</v>
      </c>
      <c r="M19" t="s">
        <v>64</v>
      </c>
      <c r="N19">
        <f>IF(EnemyGameData[[#This Row],[SpacingRad]]&lt;3,5,EnemyGameData[[#This Row],[SpacingRad]]+2)</f>
        <v>6</v>
      </c>
      <c r="O19">
        <v>605</v>
      </c>
      <c r="P19">
        <v>0</v>
      </c>
      <c r="Q19">
        <v>0</v>
      </c>
      <c r="R19">
        <v>0</v>
      </c>
      <c r="S19">
        <v>501</v>
      </c>
      <c r="T19" s="16" t="s">
        <v>405</v>
      </c>
      <c r="U19">
        <v>1</v>
      </c>
      <c r="V19">
        <f>AVERAGE(EnemyGameData[[#This Row],[GoldDropMin]],EnemyGameData[[#This Row],[GoldDropMax]])</f>
        <v>0</v>
      </c>
    </row>
    <row r="20" spans="2:22">
      <c r="B20" s="84">
        <v>702</v>
      </c>
      <c r="C20" s="53" t="s">
        <v>1160</v>
      </c>
      <c r="D20" s="13"/>
      <c r="E20">
        <f>표14[적 기준 체력]*EnemyGameData[[#This Row],['#기준 적 체력 비율]]</f>
        <v>80</v>
      </c>
      <c r="F20">
        <v>16</v>
      </c>
      <c r="G20" t="s">
        <v>181</v>
      </c>
      <c r="H20">
        <v>9</v>
      </c>
      <c r="I20">
        <v>1.2</v>
      </c>
      <c r="J20">
        <v>2</v>
      </c>
      <c r="K20">
        <v>0</v>
      </c>
      <c r="L20">
        <v>1.4</v>
      </c>
      <c r="M20" t="s">
        <v>64</v>
      </c>
      <c r="N20">
        <f>IF(EnemyGameData[[#This Row],[SpacingRad]]&lt;3,5,EnemyGameData[[#This Row],[SpacingRad]]+3)</f>
        <v>12</v>
      </c>
      <c r="O20">
        <v>602</v>
      </c>
      <c r="P20">
        <v>0</v>
      </c>
      <c r="Q20">
        <v>0</v>
      </c>
      <c r="R20">
        <v>0</v>
      </c>
      <c r="S20">
        <v>501</v>
      </c>
      <c r="T20" s="16" t="s">
        <v>402</v>
      </c>
      <c r="U20">
        <v>0.8</v>
      </c>
      <c r="V20">
        <f>AVERAGE(EnemyGameData[[#This Row],[GoldDropMin]],EnemyGameData[[#This Row],[GoldDropMax]])</f>
        <v>0</v>
      </c>
    </row>
    <row r="21" spans="2:22">
      <c r="B21" s="84">
        <v>703</v>
      </c>
      <c r="C21" s="53" t="s">
        <v>1161</v>
      </c>
      <c r="D21" s="13"/>
      <c r="E21">
        <f>표14[적 기준 체력]*EnemyGameData[[#This Row],['#기준 적 체력 비율]]</f>
        <v>80</v>
      </c>
      <c r="F21">
        <v>50</v>
      </c>
      <c r="G21" t="s">
        <v>63</v>
      </c>
      <c r="H21">
        <v>9</v>
      </c>
      <c r="I21">
        <v>2</v>
      </c>
      <c r="J21">
        <v>2</v>
      </c>
      <c r="K21">
        <v>0</v>
      </c>
      <c r="L21">
        <v>1.8</v>
      </c>
      <c r="M21" s="16" t="s">
        <v>330</v>
      </c>
      <c r="N21">
        <v>1.8</v>
      </c>
      <c r="O21">
        <v>600</v>
      </c>
      <c r="P21">
        <v>0</v>
      </c>
      <c r="Q21">
        <v>0</v>
      </c>
      <c r="R21">
        <v>0</v>
      </c>
      <c r="S21">
        <v>501</v>
      </c>
      <c r="T21" s="16" t="s">
        <v>400</v>
      </c>
      <c r="U21">
        <v>0.8</v>
      </c>
      <c r="V21">
        <f>AVERAGE(EnemyGameData[[#This Row],[GoldDropMin]],EnemyGameData[[#This Row],[GoldDropMax]])</f>
        <v>0</v>
      </c>
    </row>
    <row r="22" spans="2:22">
      <c r="B22" s="84">
        <v>704</v>
      </c>
      <c r="C22" s="53" t="s">
        <v>1162</v>
      </c>
      <c r="D22" s="13"/>
      <c r="E22">
        <f>표14[적 기준 체력]*EnemyGameData[[#This Row],['#기준 적 체력 비율]]</f>
        <v>80</v>
      </c>
      <c r="F22">
        <v>50</v>
      </c>
      <c r="G22" t="s">
        <v>181</v>
      </c>
      <c r="H22">
        <v>9</v>
      </c>
      <c r="I22">
        <v>2</v>
      </c>
      <c r="J22">
        <v>2</v>
      </c>
      <c r="K22">
        <v>0</v>
      </c>
      <c r="L22">
        <v>1.8</v>
      </c>
      <c r="M22" t="s">
        <v>127</v>
      </c>
      <c r="N22">
        <v>1.8</v>
      </c>
      <c r="O22">
        <v>607</v>
      </c>
      <c r="P22">
        <v>0</v>
      </c>
      <c r="Q22">
        <v>0</v>
      </c>
      <c r="R22">
        <v>0</v>
      </c>
      <c r="S22">
        <v>501</v>
      </c>
      <c r="T22" s="16" t="s">
        <v>408</v>
      </c>
      <c r="U22">
        <v>0.8</v>
      </c>
      <c r="V22">
        <f>AVERAGE(EnemyGameData[[#This Row],[GoldDropMin]],EnemyGameData[[#This Row],[GoldDropMax]])</f>
        <v>0</v>
      </c>
    </row>
    <row r="23" spans="2:22" s="39" customFormat="1">
      <c r="B23" s="39">
        <v>1001</v>
      </c>
      <c r="C23" s="45" t="s">
        <v>794</v>
      </c>
      <c r="D23" s="40"/>
      <c r="E23" s="39">
        <v>2000</v>
      </c>
      <c r="F23" s="39">
        <v>16</v>
      </c>
      <c r="G23" s="39" t="s">
        <v>181</v>
      </c>
      <c r="H23" s="39">
        <v>5</v>
      </c>
      <c r="I23" s="20">
        <v>0.3</v>
      </c>
      <c r="J23" s="39">
        <v>2.5</v>
      </c>
      <c r="K23" s="39">
        <v>0</v>
      </c>
      <c r="Q23" s="39">
        <v>25</v>
      </c>
      <c r="R23" s="39">
        <v>25</v>
      </c>
      <c r="T23" s="39" t="s">
        <v>833</v>
      </c>
      <c r="V23">
        <f>AVERAGE(EnemyGameData[[#This Row],[GoldDropMin]],EnemyGameData[[#This Row],[GoldDropMax]])</f>
        <v>25</v>
      </c>
    </row>
    <row r="24" spans="2:22" s="39" customFormat="1">
      <c r="B24" s="39">
        <v>1101</v>
      </c>
      <c r="C24" s="45" t="s">
        <v>795</v>
      </c>
      <c r="D24" s="40"/>
      <c r="E24" s="39">
        <v>1500</v>
      </c>
      <c r="F24" s="39">
        <v>16</v>
      </c>
      <c r="G24" s="39" t="s">
        <v>181</v>
      </c>
      <c r="H24" s="39">
        <v>5</v>
      </c>
      <c r="I24" s="20">
        <v>0.3</v>
      </c>
      <c r="J24" s="39">
        <v>1.5</v>
      </c>
      <c r="K24" s="39">
        <v>0</v>
      </c>
      <c r="Q24" s="39">
        <v>25</v>
      </c>
      <c r="R24" s="39">
        <v>25</v>
      </c>
      <c r="T24" s="39" t="s">
        <v>834</v>
      </c>
      <c r="V24">
        <f>AVERAGE(EnemyGameData[[#This Row],[GoldDropMin]],EnemyGameData[[#This Row],[GoldDropMax]])</f>
        <v>25</v>
      </c>
    </row>
    <row r="25" spans="2:22" s="39" customFormat="1">
      <c r="B25" s="39">
        <v>1102</v>
      </c>
      <c r="C25" s="45" t="s">
        <v>831</v>
      </c>
      <c r="D25" s="40"/>
      <c r="E25" s="39">
        <v>350</v>
      </c>
      <c r="F25" s="39">
        <v>16</v>
      </c>
      <c r="G25" s="39" t="s">
        <v>181</v>
      </c>
      <c r="H25" s="39">
        <v>5</v>
      </c>
      <c r="I25" s="20">
        <v>0.3</v>
      </c>
      <c r="J25" s="39">
        <v>2</v>
      </c>
      <c r="K25" s="39">
        <v>0</v>
      </c>
      <c r="Q25" s="39">
        <v>0</v>
      </c>
      <c r="R25" s="39">
        <v>0</v>
      </c>
      <c r="S25"/>
      <c r="T25" s="39" t="s">
        <v>836</v>
      </c>
      <c r="V25">
        <f>AVERAGE(EnemyGameData[[#This Row],[GoldDropMin]],EnemyGameData[[#This Row],[GoldDropMax]])</f>
        <v>0</v>
      </c>
    </row>
    <row r="26" spans="2:22" s="39" customFormat="1">
      <c r="B26" s="39">
        <v>1103</v>
      </c>
      <c r="C26" s="45" t="s">
        <v>832</v>
      </c>
      <c r="D26" s="40"/>
      <c r="E26" s="39">
        <v>350</v>
      </c>
      <c r="F26" s="39">
        <v>16</v>
      </c>
      <c r="G26" s="39" t="s">
        <v>181</v>
      </c>
      <c r="H26" s="39">
        <v>3</v>
      </c>
      <c r="I26" s="20">
        <v>0.3</v>
      </c>
      <c r="J26" s="39">
        <v>2.5</v>
      </c>
      <c r="K26" s="39">
        <v>0</v>
      </c>
      <c r="Q26" s="39">
        <v>0</v>
      </c>
      <c r="R26" s="39">
        <v>0</v>
      </c>
      <c r="S26"/>
      <c r="T26" s="39" t="s">
        <v>837</v>
      </c>
      <c r="V26">
        <f>AVERAGE(EnemyGameData[[#This Row],[GoldDropMin]],EnemyGameData[[#This Row],[GoldDropMax]])</f>
        <v>0</v>
      </c>
    </row>
    <row r="27" spans="2:22" s="39" customFormat="1">
      <c r="B27" s="39">
        <v>1003</v>
      </c>
      <c r="C27" s="40" t="s">
        <v>793</v>
      </c>
      <c r="D27" s="40"/>
      <c r="E27" s="39">
        <v>2500</v>
      </c>
      <c r="F27" s="39">
        <v>16</v>
      </c>
      <c r="G27" s="39" t="s">
        <v>181</v>
      </c>
      <c r="H27" s="39">
        <v>0.5</v>
      </c>
      <c r="I27" s="39">
        <v>2</v>
      </c>
      <c r="J27" s="39">
        <v>1.5</v>
      </c>
      <c r="K27" s="39">
        <v>0</v>
      </c>
      <c r="L27" s="39">
        <v>3</v>
      </c>
      <c r="M27" s="39" t="s">
        <v>64</v>
      </c>
      <c r="N27" s="39">
        <f>IF(EnemyGameData[[#This Row],[SpacingRad]]&lt;3,5,EnemyGameData[[#This Row],[SpacingRad]]+1)</f>
        <v>5</v>
      </c>
      <c r="O27" s="39">
        <v>0</v>
      </c>
      <c r="P27" s="39">
        <v>0</v>
      </c>
      <c r="Q27" s="39">
        <v>25</v>
      </c>
      <c r="R27" s="39">
        <v>25</v>
      </c>
      <c r="T27" s="39" t="s">
        <v>835</v>
      </c>
      <c r="V27">
        <f>AVERAGE(EnemyGameData[[#This Row],[GoldDropMin]],EnemyGameData[[#This Row],[GoldDropMax]])</f>
        <v>25</v>
      </c>
    </row>
    <row r="31" spans="2:22">
      <c r="S31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40"/>
  <sheetViews>
    <sheetView topLeftCell="A7" zoomScaleNormal="75" zoomScaleSheetLayoutView="100" workbookViewId="0">
      <selection activeCell="D14" sqref="D14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279</v>
      </c>
    </row>
    <row r="3" spans="2:9">
      <c r="B3">
        <v>600</v>
      </c>
      <c r="C3" s="15" t="s">
        <v>271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235</v>
      </c>
      <c r="D4">
        <v>702</v>
      </c>
      <c r="E4" t="s">
        <v>86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235</v>
      </c>
      <c r="D5">
        <v>703</v>
      </c>
      <c r="E5" t="s">
        <v>86</v>
      </c>
      <c r="F5">
        <v>0</v>
      </c>
      <c r="G5">
        <v>0.6</v>
      </c>
      <c r="H5" t="str">
        <f>INDEX(ShootTable['#설명],MATCH(EnemyAtkTable[[#This Row],[ShootDataId]],ShootTable[Index],0))</f>
        <v>기관총 난사 5도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235</v>
      </c>
      <c r="D6">
        <v>706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기관총 난사 20도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235</v>
      </c>
      <c r="D7">
        <v>708</v>
      </c>
      <c r="E7" t="s">
        <v>86</v>
      </c>
      <c r="F7">
        <v>0</v>
      </c>
      <c r="G7">
        <v>0.2</v>
      </c>
      <c r="H7" t="str">
        <f>INDEX(ShootTable['#설명],MATCH(EnemyAtkTable[[#This Row],[ShootDataId]],ShootTable[Index],0))</f>
        <v>기관총 난사 30도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235</v>
      </c>
      <c r="D8">
        <v>709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35도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235</v>
      </c>
      <c r="D9">
        <v>710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40도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235</v>
      </c>
      <c r="D10">
        <v>711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-5도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235</v>
      </c>
      <c r="D11">
        <v>712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-10도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235</v>
      </c>
      <c r="D12">
        <v>718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-40도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1165</v>
      </c>
      <c r="D13">
        <v>719</v>
      </c>
      <c r="E13" t="s">
        <v>86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3.4</v>
      </c>
    </row>
    <row r="14" spans="2:9">
      <c r="B14">
        <v>602</v>
      </c>
      <c r="C14" s="15" t="s">
        <v>1165</v>
      </c>
      <c r="D14">
        <v>719</v>
      </c>
      <c r="E14" t="s">
        <v>86</v>
      </c>
      <c r="F14">
        <v>0</v>
      </c>
      <c r="G14">
        <v>0.6</v>
      </c>
      <c r="H14" t="str">
        <f>INDEX(ShootTable['#설명],MATCH(EnemyAtkTable[[#This Row],[ShootDataId]],ShootTable[Index],0))</f>
        <v>정방향 발사</v>
      </c>
      <c r="I14">
        <f>SUMIF(EnemyAtkTable[Index],EnemyAtkTable[[#This Row],[Index]],EnemyAtkTable[BeforeDelay])+SUMIF(EnemyAtkTable[Index],EnemyAtkTable[[#This Row],[Index]],EnemyAtkTable[AfterDelay])</f>
        <v>3.4</v>
      </c>
    </row>
    <row r="15" spans="2:9">
      <c r="B15">
        <v>602</v>
      </c>
      <c r="C15" s="15" t="s">
        <v>1165</v>
      </c>
      <c r="D15">
        <v>719</v>
      </c>
      <c r="E15" t="s">
        <v>86</v>
      </c>
      <c r="F15">
        <v>0</v>
      </c>
      <c r="G15">
        <v>0.6</v>
      </c>
      <c r="H15" t="str">
        <f>INDEX(ShootTable['#설명],MATCH(EnemyAtkTable[[#This Row],[ShootDataId]],ShootTable[Index],0))</f>
        <v>정방향 발사</v>
      </c>
      <c r="I15">
        <f>SUMIF(EnemyAtkTable[Index],EnemyAtkTable[[#This Row],[Index]],EnemyAtkTable[BeforeDelay])+SUMIF(EnemyAtkTable[Index],EnemyAtkTable[[#This Row],[Index]],EnemyAtkTable[AfterDelay])</f>
        <v>3.4</v>
      </c>
    </row>
    <row r="16" spans="2:9">
      <c r="B16">
        <v>603</v>
      </c>
      <c r="C16" s="4" t="s">
        <v>92</v>
      </c>
      <c r="D16">
        <v>720</v>
      </c>
      <c r="E16" t="s">
        <v>86</v>
      </c>
      <c r="F16">
        <v>1.9</v>
      </c>
      <c r="G16">
        <v>0.4</v>
      </c>
      <c r="H16" t="str">
        <f>INDEX(ShootTable['#설명],MATCH(EnemyAtkTable[[#This Row],[ShootDataId]],ShootTable[Index],0))</f>
        <v>샷건 8불릿 발사</v>
      </c>
      <c r="I16">
        <f>SUMIF(EnemyAtkTable[Index],EnemyAtkTable[[#This Row],[Index]],EnemyAtkTable[BeforeDelay])+SUMIF(EnemyAtkTable[Index],EnemyAtkTable[[#This Row],[Index]],EnemyAtkTable[AfterDelay])</f>
        <v>2.2999999999999998</v>
      </c>
    </row>
    <row r="17" spans="2:9">
      <c r="B17">
        <v>604</v>
      </c>
      <c r="C17" s="15" t="s">
        <v>275</v>
      </c>
      <c r="D17">
        <v>721</v>
      </c>
      <c r="E17" t="s">
        <v>86</v>
      </c>
      <c r="F17">
        <v>1.9</v>
      </c>
      <c r="G17">
        <v>0.4</v>
      </c>
      <c r="H17" t="str">
        <f>INDEX(ShootTable['#설명],MATCH(EnemyAtkTable[[#This Row],[ShootDataId]],ShootTable[Index],0))</f>
        <v>샷건 8불릿 발사 랜덤1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604</v>
      </c>
      <c r="C18" s="15" t="s">
        <v>275</v>
      </c>
      <c r="D18">
        <v>722</v>
      </c>
      <c r="E18" t="s">
        <v>86</v>
      </c>
      <c r="F18">
        <v>1.5</v>
      </c>
      <c r="G18">
        <v>0.4</v>
      </c>
      <c r="H18" t="str">
        <f>INDEX(ShootTable['#설명],MATCH(EnemyAtkTable[[#This Row],[ShootDataId]],ShootTable[Index],0))</f>
        <v>샷건 8불릿 발사 랜덤2</v>
      </c>
      <c r="I18">
        <f>SUMIF(EnemyAtkTable[Index],EnemyAtkTable[[#This Row],[Index]],EnemyAtkTable[BeforeDelay])+SUMIF(EnemyAtkTable[Index],EnemyAtkTable[[#This Row],[Index]],EnemyAtkTable[AfterDelay])</f>
        <v>6.2</v>
      </c>
    </row>
    <row r="19" spans="2:9">
      <c r="B19">
        <v>604</v>
      </c>
      <c r="C19" s="15" t="s">
        <v>275</v>
      </c>
      <c r="D19">
        <v>723</v>
      </c>
      <c r="E19" t="s">
        <v>86</v>
      </c>
      <c r="F19">
        <v>1.5</v>
      </c>
      <c r="G19">
        <v>0.5</v>
      </c>
      <c r="H19" t="str">
        <f>INDEX(ShootTable['#설명],MATCH(EnemyAtkTable[[#This Row],[ShootDataId]],ShootTable[Index],0))</f>
        <v>샷건 8불릿 발사 랜덤3</v>
      </c>
      <c r="I19">
        <f>SUMIF(EnemyAtkTable[Index],EnemyAtkTable[[#This Row],[Index]],EnemyAtkTable[BeforeDelay])+SUMIF(EnemyAtkTable[Index],EnemyAtkTable[[#This Row],[Index]],EnemyAtkTable[AfterDelay])</f>
        <v>6.2</v>
      </c>
    </row>
    <row r="20" spans="2:9">
      <c r="B20">
        <v>605</v>
      </c>
      <c r="C20" s="15" t="s">
        <v>267</v>
      </c>
      <c r="D20">
        <v>724</v>
      </c>
      <c r="E20" t="s">
        <v>86</v>
      </c>
      <c r="F20">
        <v>1.9</v>
      </c>
      <c r="G20">
        <v>0.4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2.2999999999999998</v>
      </c>
    </row>
    <row r="21" spans="2:9">
      <c r="B21">
        <v>606</v>
      </c>
      <c r="C21" s="4" t="s">
        <v>207</v>
      </c>
      <c r="D21">
        <v>724</v>
      </c>
      <c r="E21" t="s">
        <v>86</v>
      </c>
      <c r="F21">
        <v>0</v>
      </c>
      <c r="G21">
        <v>1.5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606</v>
      </c>
      <c r="C22" s="4" t="s">
        <v>207</v>
      </c>
      <c r="D22">
        <v>724</v>
      </c>
      <c r="E22" t="s">
        <v>86</v>
      </c>
      <c r="F22">
        <v>0</v>
      </c>
      <c r="G22">
        <v>1</v>
      </c>
      <c r="H22" t="str">
        <f>INDEX(ShootTable['#설명],MATCH(EnemyAtkTable[[#This Row],[ShootDataId]],ShootTable[Index],0))</f>
        <v>3발 발사</v>
      </c>
      <c r="I22">
        <f>SUMIF(EnemyAtkTable[Index],EnemyAtkTable[[#This Row],[Index]],EnemyAtkTable[BeforeDelay])+SUMIF(EnemyAtkTable[Index],EnemyAtkTable[[#This Row],[Index]],EnemyAtkTable[AfterDelay])</f>
        <v>3.7</v>
      </c>
    </row>
    <row r="23" spans="2:9">
      <c r="B23">
        <v>606</v>
      </c>
      <c r="C23" s="4" t="s">
        <v>207</v>
      </c>
      <c r="D23">
        <v>724</v>
      </c>
      <c r="E23" t="s">
        <v>86</v>
      </c>
      <c r="F23">
        <v>0.2</v>
      </c>
      <c r="G23">
        <v>1</v>
      </c>
      <c r="H23" t="str">
        <f>INDEX(ShootTable['#설명],MATCH(EnemyAtkTable[[#This Row],[ShootDataId]],ShootTable[Index],0))</f>
        <v>3발 발사</v>
      </c>
      <c r="I23">
        <f>SUMIF(EnemyAtkTable[Index],EnemyAtkTable[[#This Row],[Index]],EnemyAtkTable[BeforeDelay])+SUMIF(EnemyAtkTable[Index],EnemyAtkTable[[#This Row],[Index]],EnemyAtkTable[AfterDelay])</f>
        <v>3.7</v>
      </c>
    </row>
    <row r="24" spans="2:9">
      <c r="B24">
        <v>607</v>
      </c>
      <c r="C24" s="17" t="s">
        <v>266</v>
      </c>
      <c r="D24">
        <v>701</v>
      </c>
      <c r="E24" t="s">
        <v>90</v>
      </c>
      <c r="F24">
        <v>1.2669999999999999</v>
      </c>
      <c r="G24">
        <v>0.33300000000000002</v>
      </c>
      <c r="H24" t="str">
        <f>INDEX(ShootTable['#설명],MATCH(EnemyAtkTable[[#This Row],[ShootDataId]],ShootTable[Index],0))</f>
        <v>4발 대각상하좌우 뿌리기</v>
      </c>
      <c r="I24">
        <f>SUMIF(EnemyAtkTable[Index],EnemyAtkTable[[#This Row],[Index]],EnemyAtkTable[BeforeDelay])+SUMIF(EnemyAtkTable[Index],EnemyAtkTable[[#This Row],[Index]],EnemyAtkTable[AfterDelay])</f>
        <v>1.5999999999999999</v>
      </c>
    </row>
    <row r="25" spans="2:9">
      <c r="B25">
        <v>651</v>
      </c>
      <c r="C25" s="17" t="s">
        <v>290</v>
      </c>
      <c r="D25">
        <v>702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정방향 발사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290</v>
      </c>
      <c r="D26">
        <v>705</v>
      </c>
      <c r="E26" t="s">
        <v>86</v>
      </c>
      <c r="F26">
        <v>0</v>
      </c>
      <c r="G26">
        <v>0.2</v>
      </c>
      <c r="H26" t="str">
        <f>INDEX(ShootTable['#설명],MATCH(EnemyAtkTable[[#This Row],[ShootDataId]],ShootTable[Index],0))</f>
        <v>기관총 난사 15도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290</v>
      </c>
      <c r="D27">
        <v>706</v>
      </c>
      <c r="E27" t="s">
        <v>86</v>
      </c>
      <c r="F27">
        <v>0</v>
      </c>
      <c r="G27">
        <v>0.2</v>
      </c>
      <c r="H27" t="str">
        <f>INDEX(ShootTable['#설명],MATCH(EnemyAtkTable[[#This Row],[ShootDataId]],ShootTable[Index],0))</f>
        <v>기관총 난사 20도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290</v>
      </c>
      <c r="D28">
        <v>708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290</v>
      </c>
      <c r="D29">
        <v>708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30도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290</v>
      </c>
      <c r="D30">
        <v>708</v>
      </c>
      <c r="E30" t="s">
        <v>86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290</v>
      </c>
      <c r="D31">
        <v>708</v>
      </c>
      <c r="E31" t="s">
        <v>86</v>
      </c>
      <c r="F31">
        <v>0</v>
      </c>
      <c r="G31">
        <v>0.2</v>
      </c>
      <c r="H31" t="str">
        <f>INDEX(ShootTable['#설명],MATCH(EnemyAtkTable[[#This Row],[ShootDataId]],ShootTable[Index],0))</f>
        <v>기관총 난사 30도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290</v>
      </c>
      <c r="D32">
        <v>711</v>
      </c>
      <c r="E32" t="s">
        <v>86</v>
      </c>
      <c r="F32">
        <v>0</v>
      </c>
      <c r="G32">
        <v>0.2</v>
      </c>
      <c r="H32" t="str">
        <f>INDEX(ShootTable['#설명],MATCH(EnemyAtkTable[[#This Row],[ShootDataId]],ShootTable[Index],0))</f>
        <v>기관총 난사 -5도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290</v>
      </c>
      <c r="D33">
        <v>711</v>
      </c>
      <c r="E33" t="s">
        <v>86</v>
      </c>
      <c r="F33">
        <v>0</v>
      </c>
      <c r="G33">
        <v>0.2</v>
      </c>
      <c r="H33" t="str">
        <f>INDEX(ShootTable['#설명],MATCH(EnemyAtkTable[[#This Row],[ShootDataId]],ShootTable[Index],0))</f>
        <v>기관총 난사 -5도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290</v>
      </c>
      <c r="D34">
        <v>712</v>
      </c>
      <c r="E34" t="s">
        <v>86</v>
      </c>
      <c r="F34">
        <v>0</v>
      </c>
      <c r="G34">
        <v>0.2</v>
      </c>
      <c r="H34" t="str">
        <f>INDEX(ShootTable['#설명],MATCH(EnemyAtkTable[[#This Row],[ShootDataId]],ShootTable[Index],0))</f>
        <v>기관총 난사 -10도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290</v>
      </c>
      <c r="D35">
        <v>712</v>
      </c>
      <c r="E35" t="s">
        <v>86</v>
      </c>
      <c r="F35">
        <v>0</v>
      </c>
      <c r="G35">
        <v>0.2</v>
      </c>
      <c r="H35" t="str">
        <f>INDEX(ShootTable['#설명],MATCH(EnemyAtkTable[[#This Row],[ShootDataId]],ShootTable[Index],0))</f>
        <v>기관총 난사 -10도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290</v>
      </c>
      <c r="D36">
        <v>713</v>
      </c>
      <c r="E36" t="s">
        <v>86</v>
      </c>
      <c r="F36">
        <v>0</v>
      </c>
      <c r="G36">
        <v>0.2</v>
      </c>
      <c r="H36" t="str">
        <f>INDEX(ShootTable['#설명],MATCH(EnemyAtkTable[[#This Row],[ShootDataId]],ShootTable[Index],0))</f>
        <v>기관총 난사 -15도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290</v>
      </c>
      <c r="D37">
        <v>713</v>
      </c>
      <c r="E37" t="s">
        <v>86</v>
      </c>
      <c r="F37">
        <v>0</v>
      </c>
      <c r="G37">
        <v>0.2</v>
      </c>
      <c r="H37" t="str">
        <f>INDEX(ShootTable['#설명],MATCH(EnemyAtkTable[[#This Row],[ShootDataId]],ShootTable[Index],0))</f>
        <v>기관총 난사 -15도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290</v>
      </c>
      <c r="D38">
        <v>716</v>
      </c>
      <c r="E38" t="s">
        <v>86</v>
      </c>
      <c r="F38">
        <v>1.5669999999999999</v>
      </c>
      <c r="G38">
        <v>0.2</v>
      </c>
      <c r="H38" t="str">
        <f>INDEX(ShootTable['#설명],MATCH(EnemyAtkTable[[#This Row],[ShootDataId]],ShootTable[Index],0))</f>
        <v>기관총 난사 -30도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290</v>
      </c>
      <c r="D39">
        <v>717</v>
      </c>
      <c r="E39" t="s">
        <v>86</v>
      </c>
      <c r="F39">
        <v>0</v>
      </c>
      <c r="G39">
        <v>0.6</v>
      </c>
      <c r="H39" t="str">
        <f>INDEX(ShootTable['#설명],MATCH(EnemyAtkTable[[#This Row],[ShootDataId]],ShootTable[Index],0))</f>
        <v>기관총 난사 -35도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290</v>
      </c>
      <c r="D40">
        <v>718</v>
      </c>
      <c r="E40" t="s">
        <v>86</v>
      </c>
      <c r="F40">
        <v>0</v>
      </c>
      <c r="G40">
        <v>0.2</v>
      </c>
      <c r="H40" t="str">
        <f>INDEX(ShootTable['#설명],MATCH(EnemyAtkTable[[#This Row],[ShootDataId]],ShootTable[Index],0))</f>
        <v>기관총 난사 -40도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652</v>
      </c>
      <c r="C41" s="17" t="s">
        <v>276</v>
      </c>
      <c r="D41">
        <v>726</v>
      </c>
      <c r="E41" t="s">
        <v>86</v>
      </c>
      <c r="F41">
        <v>1.6</v>
      </c>
      <c r="G41">
        <v>0.4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2.8000000000000003</v>
      </c>
    </row>
    <row r="42" spans="2:9">
      <c r="B42">
        <v>652</v>
      </c>
      <c r="C42" s="17" t="s">
        <v>277</v>
      </c>
      <c r="D42">
        <v>726</v>
      </c>
      <c r="E42" t="s">
        <v>86</v>
      </c>
      <c r="F42">
        <v>0</v>
      </c>
      <c r="G42">
        <v>0.4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2.8000000000000003</v>
      </c>
    </row>
    <row r="43" spans="2:9">
      <c r="B43">
        <v>652</v>
      </c>
      <c r="C43" s="17" t="s">
        <v>278</v>
      </c>
      <c r="D43">
        <v>726</v>
      </c>
      <c r="E43" t="s">
        <v>86</v>
      </c>
      <c r="F43">
        <v>0</v>
      </c>
      <c r="G43">
        <v>0.4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2.8000000000000003</v>
      </c>
    </row>
    <row r="44" spans="2:9">
      <c r="B44">
        <v>650</v>
      </c>
      <c r="C44" s="15" t="s">
        <v>272</v>
      </c>
      <c r="D44">
        <v>727</v>
      </c>
      <c r="E44" t="s">
        <v>90</v>
      </c>
      <c r="F44">
        <v>1.5</v>
      </c>
      <c r="G44">
        <v>0.5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>
        <v>650</v>
      </c>
      <c r="C45" s="15" t="s">
        <v>273</v>
      </c>
      <c r="D45">
        <v>727</v>
      </c>
      <c r="E45" t="s">
        <v>90</v>
      </c>
      <c r="F45">
        <v>1.5</v>
      </c>
      <c r="G45">
        <v>0.5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6.1</v>
      </c>
    </row>
    <row r="46" spans="2:9">
      <c r="B46">
        <v>650</v>
      </c>
      <c r="C46" s="15" t="s">
        <v>274</v>
      </c>
      <c r="D46">
        <v>727</v>
      </c>
      <c r="E46" t="s">
        <v>90</v>
      </c>
      <c r="F46">
        <v>1.5</v>
      </c>
      <c r="G46">
        <v>0.6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6.1</v>
      </c>
    </row>
    <row r="47" spans="2:9">
      <c r="B47" s="16">
        <v>9991</v>
      </c>
      <c r="C47" s="17" t="s">
        <v>261</v>
      </c>
      <c r="D47">
        <v>727</v>
      </c>
      <c r="E47" s="16" t="s">
        <v>259</v>
      </c>
      <c r="F47">
        <v>0.7</v>
      </c>
      <c r="G47">
        <v>0.6</v>
      </c>
      <c r="H47" t="str">
        <f>INDEX(ShootTable['#설명],MATCH(EnemyAtkTable[[#This Row],[ShootDataId]],ShootTable[Index],0))</f>
        <v>16방향 발사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9992</v>
      </c>
      <c r="C48" s="17" t="s">
        <v>262</v>
      </c>
      <c r="D48">
        <v>727</v>
      </c>
      <c r="E48" s="16" t="s">
        <v>259</v>
      </c>
      <c r="F48">
        <v>0</v>
      </c>
      <c r="G48">
        <v>0.1</v>
      </c>
      <c r="H48" t="str">
        <f>INDEX(ShootTable['#설명],MATCH(EnemyAtkTable[[#This Row],[ShootDataId]],ShootTable[Index],0))</f>
        <v>16방향 발사</v>
      </c>
      <c r="I48">
        <f>SUMIF(EnemyAtkTable[Index],EnemyAtkTable[[#This Row],[Index]],EnemyAtkTable[BeforeDelay])+SUMIF(EnemyAtkTable[Index],EnemyAtkTable[[#This Row],[Index]],EnemyAtkTable[AfterDelay])</f>
        <v>0.1</v>
      </c>
    </row>
    <row r="49" spans="2:9">
      <c r="B49">
        <v>9993</v>
      </c>
      <c r="C49" s="17" t="s">
        <v>263</v>
      </c>
      <c r="D49">
        <v>999</v>
      </c>
      <c r="E49" s="16" t="s">
        <v>260</v>
      </c>
      <c r="F49">
        <v>0.6</v>
      </c>
      <c r="G49">
        <v>0.4</v>
      </c>
      <c r="H49" t="str">
        <f>INDEX(ShootTable['#설명],MATCH(EnemyAtkTable[[#This Row],[ShootDataId]],ShootTable[Index],0))</f>
        <v>듀라한 공 던지기</v>
      </c>
      <c r="I49">
        <f>SUMIF(EnemyAtkTable[Index],EnemyAtkTable[[#This Row],[Index]],EnemyAtkTable[BeforeDelay])+SUMIF(EnemyAtkTable[Index],EnemyAtkTable[[#This Row],[Index]],EnemyAtkTable[AfterDelay])</f>
        <v>1</v>
      </c>
    </row>
    <row r="50" spans="2:9">
      <c r="B50">
        <v>9991</v>
      </c>
      <c r="C50" s="29" t="s">
        <v>261</v>
      </c>
      <c r="D50">
        <v>1000</v>
      </c>
      <c r="E50" s="16" t="s">
        <v>259</v>
      </c>
      <c r="F50">
        <v>0.7</v>
      </c>
      <c r="G50">
        <v>0</v>
      </c>
      <c r="H50" t="str">
        <f>INDEX(ShootTable['#설명],MATCH(EnemyAtkTable[[#This Row],[ShootDataId]],ShootTable[Index],0))</f>
        <v>8방향 발사0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1001</v>
      </c>
      <c r="E51" s="16" t="s">
        <v>259</v>
      </c>
      <c r="F51">
        <v>0.7</v>
      </c>
      <c r="G51">
        <v>0</v>
      </c>
      <c r="H51" t="str">
        <f>INDEX(ShootTable['#설명],MATCH(EnemyAtkTable[[#This Row],[ShootDataId]],ShootTable[Index],0))</f>
        <v>8방향 발사1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1002</v>
      </c>
      <c r="E52" s="16" t="s">
        <v>259</v>
      </c>
      <c r="F52">
        <v>0.5</v>
      </c>
      <c r="G52">
        <v>0</v>
      </c>
      <c r="H52" t="str">
        <f>INDEX(ShootTable['#설명],MATCH(EnemyAtkTable[[#This Row],[ShootDataId]],ShootTable[Index],0))</f>
        <v>8방향 발사2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1003</v>
      </c>
      <c r="E53" s="16" t="s">
        <v>259</v>
      </c>
      <c r="F53">
        <v>0.5</v>
      </c>
      <c r="G53">
        <v>0</v>
      </c>
      <c r="H53" t="str">
        <f>INDEX(ShootTable['#설명],MATCH(EnemyAtkTable[[#This Row],[ShootDataId]],ShootTable[Index],0))</f>
        <v>8방향 발사3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1004</v>
      </c>
      <c r="E54" s="16" t="s">
        <v>259</v>
      </c>
      <c r="F54">
        <v>0.3</v>
      </c>
      <c r="G54">
        <v>0</v>
      </c>
      <c r="H54" t="str">
        <f>INDEX(ShootTable['#설명],MATCH(EnemyAtkTable[[#This Row],[ShootDataId]],ShootTable[Index],0))</f>
        <v>8방향 발사4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1005</v>
      </c>
      <c r="E55" s="16" t="s">
        <v>259</v>
      </c>
      <c r="F55">
        <v>0.3</v>
      </c>
      <c r="G55">
        <v>0</v>
      </c>
      <c r="H55" t="str">
        <f>INDEX(ShootTable['#설명],MATCH(EnemyAtkTable[[#This Row],[ShootDataId]],ShootTable[Index],0))</f>
        <v>8방향 발사5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1006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발사6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1007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발사7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1008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발사8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9991</v>
      </c>
      <c r="C59" s="17" t="s">
        <v>261</v>
      </c>
      <c r="D59">
        <v>1009</v>
      </c>
      <c r="E59" s="16" t="s">
        <v>259</v>
      </c>
      <c r="F59">
        <v>0.2</v>
      </c>
      <c r="G59">
        <v>0</v>
      </c>
      <c r="H59" t="str">
        <f>INDEX(ShootTable['#설명],MATCH(EnemyAtkTable[[#This Row],[ShootDataId]],ShootTable[Index],0))</f>
        <v>8방향 발사9</v>
      </c>
      <c r="I59">
        <f>SUMIF(EnemyAtkTable[Index],EnemyAtkTable[[#This Row],[Index]],EnemyAtkTable[BeforeDelay])+SUMIF(EnemyAtkTable[Index],EnemyAtkTable[[#This Row],[Index]],EnemyAtkTable[AfterDelay])</f>
        <v>5.3</v>
      </c>
    </row>
    <row r="60" spans="2:9">
      <c r="B60">
        <v>9991</v>
      </c>
      <c r="C60" s="17" t="s">
        <v>261</v>
      </c>
      <c r="D60">
        <v>1010</v>
      </c>
      <c r="E60" s="16" t="s">
        <v>259</v>
      </c>
      <c r="F60">
        <v>0.2</v>
      </c>
      <c r="G60">
        <v>0</v>
      </c>
      <c r="H60" t="str">
        <f>INDEX(ShootTable['#설명],MATCH(EnemyAtkTable[[#This Row],[ShootDataId]],ShootTable[Index],0))</f>
        <v>8방향 발사10</v>
      </c>
      <c r="I60">
        <f>SUMIF(EnemyAtkTable[Index],EnemyAtkTable[[#This Row],[Index]],EnemyAtkTable[BeforeDelay])+SUMIF(EnemyAtkTable[Index],EnemyAtkTable[[#This Row],[Index]],EnemyAtkTable[AfterDelay])</f>
        <v>5.3</v>
      </c>
    </row>
    <row r="61" spans="2:9">
      <c r="B61">
        <v>20001</v>
      </c>
      <c r="C61" s="18" t="s">
        <v>797</v>
      </c>
      <c r="D61">
        <v>2001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스윙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20002</v>
      </c>
      <c r="C62" s="18" t="s">
        <v>801</v>
      </c>
      <c r="D62">
        <v>2002</v>
      </c>
      <c r="E62" s="16" t="s">
        <v>804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20003</v>
      </c>
      <c r="C63" s="18" t="s">
        <v>802</v>
      </c>
      <c r="D63">
        <v>2002</v>
      </c>
      <c r="E63" s="16" t="s">
        <v>260</v>
      </c>
      <c r="F63">
        <v>0</v>
      </c>
      <c r="G63">
        <v>0.34</v>
      </c>
      <c r="H63" t="str">
        <f>INDEX(ShootTable['#설명],MATCH(EnemyAtkTable[[#This Row],[ShootDataId]],ShootTable[Index],0))</f>
        <v>새디 공 뿌리기</v>
      </c>
      <c r="I63">
        <f>SUMIF(EnemyAtkTable[Index],EnemyAtkTable[[#This Row],[Index]],EnemyAtkTable[BeforeDelay])+SUMIF(EnemyAtkTable[Index],EnemyAtkTable[[#This Row],[Index]],EnemyAtkTable[AfterDelay])</f>
        <v>0.34</v>
      </c>
    </row>
    <row r="64" spans="2:9">
      <c r="B64">
        <v>20004</v>
      </c>
      <c r="C64" s="18" t="s">
        <v>803</v>
      </c>
      <c r="D64">
        <v>2002</v>
      </c>
      <c r="E64" s="16" t="s">
        <v>804</v>
      </c>
      <c r="F64">
        <v>0</v>
      </c>
      <c r="G64">
        <v>0.34</v>
      </c>
      <c r="H64" t="str">
        <f>INDEX(ShootTable['#설명],MATCH(EnemyAtkTable[[#This Row],[ShootDataId]],ShootTable[Index],0))</f>
        <v>새디 공 뿌리기</v>
      </c>
      <c r="I64">
        <f>SUMIF(EnemyAtkTable[Index],EnemyAtkTable[[#This Row],[Index]],EnemyAtkTable[BeforeDelay])+SUMIF(EnemyAtkTable[Index],EnemyAtkTable[[#This Row],[Index]],EnemyAtkTable[AfterDelay])</f>
        <v>0.34</v>
      </c>
    </row>
    <row r="65" spans="2:17">
      <c r="B65">
        <v>20005</v>
      </c>
      <c r="C65" s="14" t="s">
        <v>813</v>
      </c>
      <c r="D65">
        <v>2003</v>
      </c>
      <c r="E65" s="16" t="s">
        <v>260</v>
      </c>
      <c r="F65">
        <v>2.6</v>
      </c>
      <c r="G65">
        <v>0</v>
      </c>
      <c r="H65" t="str">
        <f>INDEX(ShootTable['#설명],MATCH(EnemyAtkTable[[#This Row],[ShootDataId]],ShootTable[Index],0))</f>
        <v>새디 발버둥1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813</v>
      </c>
      <c r="D66">
        <v>2004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발버둥2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813</v>
      </c>
      <c r="D67">
        <v>2004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발버둥2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813</v>
      </c>
      <c r="D68">
        <v>2005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발버둥3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813</v>
      </c>
      <c r="D69">
        <v>2005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813</v>
      </c>
      <c r="D70">
        <v>2006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813</v>
      </c>
      <c r="D71">
        <v>2006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발버둥4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20005</v>
      </c>
      <c r="C72" s="14" t="s">
        <v>813</v>
      </c>
      <c r="D72">
        <v>2007</v>
      </c>
      <c r="E72" s="16" t="s">
        <v>260</v>
      </c>
      <c r="F72">
        <v>0</v>
      </c>
      <c r="G72">
        <v>0.5</v>
      </c>
      <c r="H72" t="str">
        <f>INDEX(ShootTable['#설명],MATCH(EnemyAtkTable[[#This Row],[ShootDataId]],ShootTable[Index],0))</f>
        <v>새디 발버둥5</v>
      </c>
      <c r="I72">
        <f>SUMIF(EnemyAtkTable[Index],EnemyAtkTable[[#This Row],[Index]],EnemyAtkTable[BeforeDelay])+SUMIF(EnemyAtkTable[Index],EnemyAtkTable[[#This Row],[Index]],EnemyAtkTable[AfterDelay])</f>
        <v>6.6</v>
      </c>
    </row>
    <row r="73" spans="2:17">
      <c r="B73">
        <v>20005</v>
      </c>
      <c r="C73" s="14" t="s">
        <v>813</v>
      </c>
      <c r="D73">
        <v>2007</v>
      </c>
      <c r="E73" s="16" t="s">
        <v>260</v>
      </c>
      <c r="F73">
        <v>0</v>
      </c>
      <c r="G73">
        <v>0.5</v>
      </c>
      <c r="H73" t="str">
        <f>INDEX(ShootTable['#설명],MATCH(EnemyAtkTable[[#This Row],[ShootDataId]],ShootTable[Index],0))</f>
        <v>새디 발버둥5</v>
      </c>
      <c r="I73">
        <f>SUMIF(EnemyAtkTable[Index],EnemyAtkTable[[#This Row],[Index]],EnemyAtkTable[BeforeDelay])+SUMIF(EnemyAtkTable[Index],EnemyAtkTable[[#This Row],[Index]],EnemyAtkTable[AfterDelay])</f>
        <v>6.6</v>
      </c>
    </row>
    <row r="74" spans="2:17">
      <c r="B74">
        <v>30001</v>
      </c>
      <c r="C74" s="14" t="s">
        <v>830</v>
      </c>
      <c r="D74">
        <v>3104</v>
      </c>
      <c r="E74" s="16" t="s">
        <v>804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830</v>
      </c>
      <c r="D75">
        <v>3114</v>
      </c>
      <c r="E75" s="16" t="s">
        <v>804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830</v>
      </c>
      <c r="D76">
        <v>3109</v>
      </c>
      <c r="E76" s="16" t="s">
        <v>804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</row>
    <row r="77" spans="2:17">
      <c r="B77">
        <v>30001</v>
      </c>
      <c r="C77" s="14" t="s">
        <v>830</v>
      </c>
      <c r="D77">
        <v>3101</v>
      </c>
      <c r="E77" s="16" t="s">
        <v>804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830</v>
      </c>
      <c r="D78">
        <v>3102</v>
      </c>
      <c r="E78" s="16" t="s">
        <v>804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  <c r="Q78" s="11"/>
    </row>
    <row r="79" spans="2:17">
      <c r="B79">
        <v>30001</v>
      </c>
      <c r="C79" s="14" t="s">
        <v>830</v>
      </c>
      <c r="D79">
        <v>3108</v>
      </c>
      <c r="E79" s="16" t="s">
        <v>804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830</v>
      </c>
      <c r="D80">
        <v>3111</v>
      </c>
      <c r="E80" s="16" t="s">
        <v>804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830</v>
      </c>
      <c r="D81">
        <v>3116</v>
      </c>
      <c r="E81" s="16" t="s">
        <v>804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830</v>
      </c>
      <c r="D82">
        <v>3115</v>
      </c>
      <c r="E82" s="16" t="s">
        <v>804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830</v>
      </c>
      <c r="D83">
        <v>3106</v>
      </c>
      <c r="E83" s="16" t="s">
        <v>804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830</v>
      </c>
      <c r="D84">
        <v>3103</v>
      </c>
      <c r="E84" s="16" t="s">
        <v>804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830</v>
      </c>
      <c r="D85">
        <v>3105</v>
      </c>
      <c r="E85" s="16" t="s">
        <v>804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830</v>
      </c>
      <c r="D86">
        <v>3113</v>
      </c>
      <c r="E86" s="16" t="s">
        <v>804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830</v>
      </c>
      <c r="D87">
        <v>3112</v>
      </c>
      <c r="E87" s="16" t="s">
        <v>804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4" t="s">
        <v>830</v>
      </c>
      <c r="D88">
        <v>3110</v>
      </c>
      <c r="E88" s="16" t="s">
        <v>804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4" t="s">
        <v>830</v>
      </c>
      <c r="D89">
        <v>3107</v>
      </c>
      <c r="E89" s="16" t="s">
        <v>804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830</v>
      </c>
      <c r="D90">
        <v>3110</v>
      </c>
      <c r="E90" s="16" t="s">
        <v>804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830</v>
      </c>
      <c r="D91">
        <v>3101</v>
      </c>
      <c r="E91" s="16" t="s">
        <v>804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830</v>
      </c>
      <c r="D92">
        <v>3116</v>
      </c>
      <c r="E92" s="16" t="s">
        <v>804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830</v>
      </c>
      <c r="D93">
        <v>3105</v>
      </c>
      <c r="E93" s="16" t="s">
        <v>804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830</v>
      </c>
      <c r="D94">
        <v>3115</v>
      </c>
      <c r="E94" s="16" t="s">
        <v>804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</row>
    <row r="95" spans="2:17">
      <c r="B95">
        <v>30001</v>
      </c>
      <c r="C95" s="11" t="s">
        <v>830</v>
      </c>
      <c r="D95">
        <v>3111</v>
      </c>
      <c r="E95" s="16" t="s">
        <v>804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830</v>
      </c>
      <c r="D96">
        <v>3112</v>
      </c>
      <c r="E96" s="16" t="s">
        <v>804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  <c r="Q96" s="11"/>
    </row>
    <row r="97" spans="2:9">
      <c r="B97">
        <v>30001</v>
      </c>
      <c r="C97" s="11" t="s">
        <v>830</v>
      </c>
      <c r="D97">
        <v>3108</v>
      </c>
      <c r="E97" s="16" t="s">
        <v>804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830</v>
      </c>
      <c r="D98">
        <v>3107</v>
      </c>
      <c r="E98" s="16" t="s">
        <v>804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830</v>
      </c>
      <c r="D99">
        <v>3102</v>
      </c>
      <c r="E99" s="16" t="s">
        <v>804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830</v>
      </c>
      <c r="D100">
        <v>3106</v>
      </c>
      <c r="E100" s="16" t="s">
        <v>804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830</v>
      </c>
      <c r="D101">
        <v>3114</v>
      </c>
      <c r="E101" s="16" t="s">
        <v>804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830</v>
      </c>
      <c r="D102">
        <v>3103</v>
      </c>
      <c r="E102" s="16" t="s">
        <v>804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830</v>
      </c>
      <c r="D103">
        <v>3113</v>
      </c>
      <c r="E103" s="16" t="s">
        <v>804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1" t="s">
        <v>830</v>
      </c>
      <c r="D104">
        <v>3104</v>
      </c>
      <c r="E104" s="16" t="s">
        <v>804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1" t="s">
        <v>830</v>
      </c>
      <c r="D105">
        <v>3109</v>
      </c>
      <c r="E105" s="16" t="s">
        <v>804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830</v>
      </c>
      <c r="D106">
        <v>3110</v>
      </c>
      <c r="E106" s="16" t="s">
        <v>804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830</v>
      </c>
      <c r="D107">
        <v>3116</v>
      </c>
      <c r="E107" s="16" t="s">
        <v>804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830</v>
      </c>
      <c r="D108">
        <v>3108</v>
      </c>
      <c r="E108" s="16" t="s">
        <v>804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830</v>
      </c>
      <c r="D109">
        <v>3115</v>
      </c>
      <c r="E109" s="16" t="s">
        <v>804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830</v>
      </c>
      <c r="D110">
        <v>3103</v>
      </c>
      <c r="E110" s="16" t="s">
        <v>804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830</v>
      </c>
      <c r="D111">
        <v>3102</v>
      </c>
      <c r="E111" s="16" t="s">
        <v>804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830</v>
      </c>
      <c r="D112">
        <v>3114</v>
      </c>
      <c r="E112" s="16" t="s">
        <v>804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830</v>
      </c>
      <c r="D113">
        <v>3113</v>
      </c>
      <c r="E113" s="16" t="s">
        <v>804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830</v>
      </c>
      <c r="D114">
        <v>3111</v>
      </c>
      <c r="E114" s="16" t="s">
        <v>804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830</v>
      </c>
      <c r="D115">
        <v>3107</v>
      </c>
      <c r="E115" s="16" t="s">
        <v>804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830</v>
      </c>
      <c r="D116">
        <v>3106</v>
      </c>
      <c r="E116" s="16" t="s">
        <v>804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830</v>
      </c>
      <c r="D117">
        <v>3104</v>
      </c>
      <c r="E117" s="16" t="s">
        <v>804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830</v>
      </c>
      <c r="D118">
        <v>3112</v>
      </c>
      <c r="E118" s="16" t="s">
        <v>804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830</v>
      </c>
      <c r="D119">
        <v>3101</v>
      </c>
      <c r="E119" s="16" t="s">
        <v>804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4" t="s">
        <v>830</v>
      </c>
      <c r="D120">
        <v>3105</v>
      </c>
      <c r="E120" s="16" t="s">
        <v>804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4" t="s">
        <v>830</v>
      </c>
      <c r="D121">
        <v>3109</v>
      </c>
      <c r="E121" s="16" t="s">
        <v>804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830</v>
      </c>
      <c r="D122">
        <v>3101</v>
      </c>
      <c r="E122" s="16" t="s">
        <v>804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830</v>
      </c>
      <c r="D123">
        <v>3110</v>
      </c>
      <c r="E123" s="16" t="s">
        <v>804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830</v>
      </c>
      <c r="D124">
        <v>3103</v>
      </c>
      <c r="E124" s="16" t="s">
        <v>804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830</v>
      </c>
      <c r="D125">
        <v>3116</v>
      </c>
      <c r="E125" s="16" t="s">
        <v>804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830</v>
      </c>
      <c r="D126">
        <v>3109</v>
      </c>
      <c r="E126" s="16" t="s">
        <v>804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830</v>
      </c>
      <c r="D127">
        <v>3107</v>
      </c>
      <c r="E127" s="16" t="s">
        <v>804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830</v>
      </c>
      <c r="D128">
        <v>3113</v>
      </c>
      <c r="E128" s="16" t="s">
        <v>804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830</v>
      </c>
      <c r="D129">
        <v>3106</v>
      </c>
      <c r="E129" s="16" t="s">
        <v>804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830</v>
      </c>
      <c r="D130">
        <v>3102</v>
      </c>
      <c r="E130" s="16" t="s">
        <v>804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830</v>
      </c>
      <c r="D131">
        <v>3111</v>
      </c>
      <c r="E131" s="16" t="s">
        <v>804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830</v>
      </c>
      <c r="D132">
        <v>3115</v>
      </c>
      <c r="E132" s="16" t="s">
        <v>804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830</v>
      </c>
      <c r="D133">
        <v>3112</v>
      </c>
      <c r="E133" s="16" t="s">
        <v>804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830</v>
      </c>
      <c r="D134">
        <v>3114</v>
      </c>
      <c r="E134" s="16" t="s">
        <v>804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830</v>
      </c>
      <c r="D135">
        <v>3105</v>
      </c>
      <c r="E135" s="16" t="s">
        <v>804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30001</v>
      </c>
      <c r="C136" s="11" t="s">
        <v>830</v>
      </c>
      <c r="D136">
        <v>3104</v>
      </c>
      <c r="E136" s="16" t="s">
        <v>804</v>
      </c>
      <c r="F136">
        <v>0</v>
      </c>
      <c r="G136">
        <v>0.05</v>
      </c>
      <c r="H136" t="str">
        <f>INDEX(ShootTable['#설명],MATCH(EnemyAtkTable[[#This Row],[ShootDataId]],ShootTable[Index],0))</f>
        <v>젤로 돌진</v>
      </c>
      <c r="I136">
        <f>SUMIF(EnemyAtkTable[Index],EnemyAtkTable[[#This Row],[Index]],EnemyAtkTable[BeforeDelay])+SUMIF(EnemyAtkTable[Index],EnemyAtkTable[[#This Row],[Index]],EnemyAtkTable[AfterDelay])</f>
        <v>2.5599999999999987</v>
      </c>
    </row>
    <row r="137" spans="2:9">
      <c r="B137">
        <v>30001</v>
      </c>
      <c r="C137" s="11" t="s">
        <v>830</v>
      </c>
      <c r="D137">
        <v>3108</v>
      </c>
      <c r="E137" s="16" t="s">
        <v>804</v>
      </c>
      <c r="F137">
        <v>0</v>
      </c>
      <c r="G137">
        <v>0.03</v>
      </c>
      <c r="H137" t="str">
        <f>INDEX(ShootTable['#설명],MATCH(EnemyAtkTable[[#This Row],[ShootDataId]],ShootTable[Index],0))</f>
        <v>젤로 돌진</v>
      </c>
      <c r="I137">
        <f>SUMIF(EnemyAtkTable[Index],EnemyAtkTable[[#This Row],[Index]],EnemyAtkTable[BeforeDelay])+SUMIF(EnemyAtkTable[Index],EnemyAtkTable[[#This Row],[Index]],EnemyAtkTable[AfterDelay])</f>
        <v>2.5599999999999987</v>
      </c>
    </row>
    <row r="138" spans="2:9">
      <c r="B138">
        <v>30002</v>
      </c>
      <c r="C138" s="16" t="s">
        <v>864</v>
      </c>
      <c r="D138">
        <v>3301</v>
      </c>
      <c r="E138" s="16" t="s">
        <v>260</v>
      </c>
      <c r="F138">
        <v>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  <row r="139" spans="2:9">
      <c r="B139">
        <v>30002</v>
      </c>
      <c r="C139" s="16" t="s">
        <v>864</v>
      </c>
      <c r="D139">
        <v>3301</v>
      </c>
      <c r="E139" s="16" t="s">
        <v>260</v>
      </c>
      <c r="F139">
        <v>0.1</v>
      </c>
      <c r="G139">
        <v>0.3</v>
      </c>
      <c r="H139" t="str">
        <f>INDEX(ShootTable['#설명],MATCH(EnemyAtkTable[[#This Row],[ShootDataId]],ShootTable[Index],0))</f>
        <v>젤로 왼손이 연발 발사</v>
      </c>
      <c r="I139">
        <f>SUMIF(EnemyAtkTable[Index],EnemyAtkTable[[#This Row],[Index]],EnemyAtkTable[BeforeDelay])+SUMIF(EnemyAtkTable[Index],EnemyAtkTable[[#This Row],[Index]],EnemyAtkTable[AfterDelay])</f>
        <v>2.1</v>
      </c>
    </row>
    <row r="140" spans="2:9">
      <c r="B140">
        <v>30002</v>
      </c>
      <c r="C140" s="16" t="s">
        <v>864</v>
      </c>
      <c r="D140">
        <v>3301</v>
      </c>
      <c r="E140" s="16" t="s">
        <v>260</v>
      </c>
      <c r="F140">
        <v>0.1</v>
      </c>
      <c r="G140">
        <v>0.3</v>
      </c>
      <c r="H140" t="str">
        <f>INDEX(ShootTable['#설명],MATCH(EnemyAtkTable[[#This Row],[ShootDataId]],ShootTable[Index],0))</f>
        <v>젤로 왼손이 연발 발사</v>
      </c>
      <c r="I140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4:P91">
    <sortCondition ref="P74:P91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0" zoomScaleNormal="75" zoomScaleSheetLayoutView="100" workbookViewId="0">
      <selection activeCell="C90" sqref="C90:E92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823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322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322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322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322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322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322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322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322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322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322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322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322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322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322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322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322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322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322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322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322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322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322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322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322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322</v>
      </c>
    </row>
    <row r="28" spans="2:8">
      <c r="B28">
        <v>719</v>
      </c>
      <c r="C28" s="13" t="s">
        <v>268</v>
      </c>
      <c r="D28">
        <v>0</v>
      </c>
      <c r="E28">
        <v>403</v>
      </c>
      <c r="F28">
        <v>2</v>
      </c>
      <c r="G28">
        <v>6</v>
      </c>
      <c r="H28" s="11" t="s">
        <v>322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322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322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322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322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322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322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322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322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322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322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322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322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322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322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322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322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322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322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322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322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322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322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322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322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322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322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322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322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322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322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322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322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322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322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322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2</v>
      </c>
      <c r="G64">
        <v>6.5</v>
      </c>
      <c r="H64" s="11" t="s">
        <v>828</v>
      </c>
    </row>
    <row r="65" spans="2:8">
      <c r="B65">
        <v>727</v>
      </c>
      <c r="C65" s="14" t="s">
        <v>299</v>
      </c>
      <c r="D65">
        <v>22.5</v>
      </c>
      <c r="E65">
        <v>401</v>
      </c>
      <c r="F65">
        <v>0</v>
      </c>
      <c r="G65">
        <v>6.5</v>
      </c>
      <c r="H65" s="11" t="s">
        <v>322</v>
      </c>
    </row>
    <row r="66" spans="2:8">
      <c r="B66">
        <v>727</v>
      </c>
      <c r="C66" s="14" t="s">
        <v>299</v>
      </c>
      <c r="D66">
        <v>45</v>
      </c>
      <c r="E66">
        <v>401</v>
      </c>
      <c r="F66">
        <v>0</v>
      </c>
      <c r="G66">
        <v>6.5</v>
      </c>
      <c r="H66" s="11" t="s">
        <v>322</v>
      </c>
    </row>
    <row r="67" spans="2:8">
      <c r="B67">
        <v>727</v>
      </c>
      <c r="C67" s="14" t="s">
        <v>298</v>
      </c>
      <c r="D67">
        <v>67.5</v>
      </c>
      <c r="E67">
        <v>401</v>
      </c>
      <c r="F67">
        <v>0</v>
      </c>
      <c r="G67">
        <v>6.5</v>
      </c>
      <c r="H67" s="11" t="s">
        <v>322</v>
      </c>
    </row>
    <row r="68" spans="2:8">
      <c r="B68">
        <v>727</v>
      </c>
      <c r="C68" s="14" t="s">
        <v>298</v>
      </c>
      <c r="D68">
        <v>90</v>
      </c>
      <c r="E68">
        <v>401</v>
      </c>
      <c r="F68">
        <v>0</v>
      </c>
      <c r="G68">
        <v>6.5</v>
      </c>
      <c r="H68" s="11" t="s">
        <v>322</v>
      </c>
    </row>
    <row r="69" spans="2:8">
      <c r="B69">
        <v>727</v>
      </c>
      <c r="C69" s="14" t="s">
        <v>298</v>
      </c>
      <c r="D69">
        <v>112.5</v>
      </c>
      <c r="E69">
        <v>401</v>
      </c>
      <c r="F69">
        <v>0</v>
      </c>
      <c r="G69">
        <v>6.5</v>
      </c>
      <c r="H69" s="11" t="s">
        <v>322</v>
      </c>
    </row>
    <row r="70" spans="2:8">
      <c r="B70">
        <v>727</v>
      </c>
      <c r="C70" s="14" t="s">
        <v>298</v>
      </c>
      <c r="D70">
        <v>135</v>
      </c>
      <c r="E70">
        <v>401</v>
      </c>
      <c r="F70">
        <v>0</v>
      </c>
      <c r="G70">
        <v>6.5</v>
      </c>
      <c r="H70" s="11" t="s">
        <v>322</v>
      </c>
    </row>
    <row r="71" spans="2:8">
      <c r="B71">
        <v>727</v>
      </c>
      <c r="C71" s="14" t="s">
        <v>298</v>
      </c>
      <c r="D71">
        <v>157.5</v>
      </c>
      <c r="E71">
        <v>401</v>
      </c>
      <c r="F71">
        <v>0</v>
      </c>
      <c r="G71">
        <v>6.5</v>
      </c>
      <c r="H71" s="11" t="s">
        <v>322</v>
      </c>
    </row>
    <row r="72" spans="2:8">
      <c r="B72">
        <v>727</v>
      </c>
      <c r="C72" s="14" t="s">
        <v>298</v>
      </c>
      <c r="D72">
        <v>180</v>
      </c>
      <c r="E72">
        <v>401</v>
      </c>
      <c r="F72">
        <v>0</v>
      </c>
      <c r="G72">
        <v>6.5</v>
      </c>
      <c r="H72" s="11" t="s">
        <v>322</v>
      </c>
    </row>
    <row r="73" spans="2:8">
      <c r="B73">
        <v>727</v>
      </c>
      <c r="C73" s="14" t="s">
        <v>299</v>
      </c>
      <c r="D73">
        <v>202.5</v>
      </c>
      <c r="E73">
        <v>401</v>
      </c>
      <c r="F73">
        <v>0</v>
      </c>
      <c r="G73">
        <v>6.5</v>
      </c>
      <c r="H73" s="11" t="s">
        <v>322</v>
      </c>
    </row>
    <row r="74" spans="2:8">
      <c r="B74">
        <v>727</v>
      </c>
      <c r="C74" s="14" t="s">
        <v>299</v>
      </c>
      <c r="D74">
        <v>225</v>
      </c>
      <c r="E74">
        <v>401</v>
      </c>
      <c r="F74">
        <v>0</v>
      </c>
      <c r="G74">
        <v>6.5</v>
      </c>
      <c r="H74" s="11" t="s">
        <v>322</v>
      </c>
    </row>
    <row r="75" spans="2:8">
      <c r="B75">
        <v>727</v>
      </c>
      <c r="C75" s="14" t="s">
        <v>298</v>
      </c>
      <c r="D75">
        <v>247.5</v>
      </c>
      <c r="E75">
        <v>401</v>
      </c>
      <c r="F75">
        <v>0</v>
      </c>
      <c r="G75">
        <v>6.5</v>
      </c>
      <c r="H75" s="11" t="s">
        <v>322</v>
      </c>
    </row>
    <row r="76" spans="2:8">
      <c r="B76">
        <v>727</v>
      </c>
      <c r="C76" s="14" t="s">
        <v>298</v>
      </c>
      <c r="D76">
        <v>270</v>
      </c>
      <c r="E76">
        <v>401</v>
      </c>
      <c r="F76">
        <v>0</v>
      </c>
      <c r="G76">
        <v>6.5</v>
      </c>
      <c r="H76" s="11" t="s">
        <v>322</v>
      </c>
    </row>
    <row r="77" spans="2:8">
      <c r="B77">
        <v>727</v>
      </c>
      <c r="C77" s="14" t="s">
        <v>298</v>
      </c>
      <c r="D77">
        <v>292.5</v>
      </c>
      <c r="E77">
        <v>401</v>
      </c>
      <c r="F77">
        <v>0</v>
      </c>
      <c r="G77">
        <v>6.5</v>
      </c>
      <c r="H77" s="11" t="s">
        <v>322</v>
      </c>
    </row>
    <row r="78" spans="2:8">
      <c r="B78">
        <v>727</v>
      </c>
      <c r="C78" s="14" t="s">
        <v>298</v>
      </c>
      <c r="D78">
        <v>315</v>
      </c>
      <c r="E78">
        <v>401</v>
      </c>
      <c r="F78">
        <v>0</v>
      </c>
      <c r="G78">
        <v>6.5</v>
      </c>
      <c r="H78" s="11" t="s">
        <v>322</v>
      </c>
    </row>
    <row r="79" spans="2:8">
      <c r="B79">
        <v>727</v>
      </c>
      <c r="C79" s="14" t="s">
        <v>298</v>
      </c>
      <c r="D79">
        <v>337.5</v>
      </c>
      <c r="E79">
        <v>401</v>
      </c>
      <c r="F79">
        <v>0</v>
      </c>
      <c r="G79">
        <v>6.5</v>
      </c>
      <c r="H79" s="11" t="s">
        <v>322</v>
      </c>
    </row>
    <row r="80" spans="2:8">
      <c r="B80">
        <v>727</v>
      </c>
      <c r="C80" s="14" t="s">
        <v>298</v>
      </c>
      <c r="D80">
        <v>360</v>
      </c>
      <c r="E80">
        <v>401</v>
      </c>
      <c r="F80">
        <v>0</v>
      </c>
      <c r="G80">
        <v>6.5</v>
      </c>
      <c r="H80" s="11" t="s">
        <v>322</v>
      </c>
    </row>
    <row r="81" spans="2:8">
      <c r="B81">
        <v>800</v>
      </c>
      <c r="C81" s="11" t="s">
        <v>353</v>
      </c>
      <c r="D81">
        <v>30</v>
      </c>
      <c r="E81">
        <v>201</v>
      </c>
      <c r="F81">
        <v>0</v>
      </c>
      <c r="G81">
        <v>6.5</v>
      </c>
      <c r="H81" s="11" t="s">
        <v>322</v>
      </c>
    </row>
    <row r="82" spans="2:8">
      <c r="B82">
        <v>800</v>
      </c>
      <c r="C82" s="11" t="s">
        <v>353</v>
      </c>
      <c r="D82">
        <v>0</v>
      </c>
      <c r="E82">
        <v>201</v>
      </c>
      <c r="F82">
        <v>0</v>
      </c>
      <c r="G82">
        <v>6.5</v>
      </c>
      <c r="H82" s="11" t="s">
        <v>322</v>
      </c>
    </row>
    <row r="83" spans="2:8">
      <c r="B83">
        <v>800</v>
      </c>
      <c r="C83" s="11" t="s">
        <v>353</v>
      </c>
      <c r="D83">
        <v>-30</v>
      </c>
      <c r="E83">
        <v>201</v>
      </c>
      <c r="F83">
        <v>0</v>
      </c>
      <c r="G83">
        <v>6.5</v>
      </c>
      <c r="H83" s="11" t="s">
        <v>322</v>
      </c>
    </row>
    <row r="84" spans="2:8">
      <c r="B84">
        <v>804</v>
      </c>
      <c r="C84" s="11" t="s">
        <v>381</v>
      </c>
      <c r="D84">
        <v>0</v>
      </c>
      <c r="E84">
        <v>204</v>
      </c>
      <c r="F84">
        <v>2</v>
      </c>
      <c r="G84">
        <v>5</v>
      </c>
      <c r="H84" s="11" t="s">
        <v>828</v>
      </c>
    </row>
    <row r="85" spans="2:8">
      <c r="B85">
        <v>804</v>
      </c>
      <c r="C85" s="11" t="s">
        <v>381</v>
      </c>
      <c r="D85">
        <v>60</v>
      </c>
      <c r="E85">
        <v>204</v>
      </c>
      <c r="F85">
        <v>2</v>
      </c>
      <c r="G85">
        <v>5</v>
      </c>
      <c r="H85" s="11" t="s">
        <v>828</v>
      </c>
    </row>
    <row r="86" spans="2:8">
      <c r="B86">
        <v>804</v>
      </c>
      <c r="C86" s="11" t="s">
        <v>381</v>
      </c>
      <c r="D86">
        <v>120</v>
      </c>
      <c r="E86">
        <v>204</v>
      </c>
      <c r="F86">
        <v>2</v>
      </c>
      <c r="G86">
        <v>5</v>
      </c>
      <c r="H86" s="11" t="s">
        <v>828</v>
      </c>
    </row>
    <row r="87" spans="2:8">
      <c r="B87">
        <v>804</v>
      </c>
      <c r="C87" s="11" t="s">
        <v>381</v>
      </c>
      <c r="D87">
        <v>180</v>
      </c>
      <c r="E87">
        <v>204</v>
      </c>
      <c r="F87">
        <v>2</v>
      </c>
      <c r="G87">
        <v>5</v>
      </c>
      <c r="H87" s="11" t="s">
        <v>828</v>
      </c>
    </row>
    <row r="88" spans="2:8">
      <c r="B88">
        <v>804</v>
      </c>
      <c r="C88" s="11" t="s">
        <v>381</v>
      </c>
      <c r="D88">
        <v>240</v>
      </c>
      <c r="E88">
        <v>204</v>
      </c>
      <c r="F88">
        <v>2</v>
      </c>
      <c r="G88">
        <v>5</v>
      </c>
      <c r="H88" s="11" t="s">
        <v>828</v>
      </c>
    </row>
    <row r="89" spans="2:8">
      <c r="B89">
        <v>804</v>
      </c>
      <c r="C89" s="11" t="s">
        <v>381</v>
      </c>
      <c r="D89">
        <v>300</v>
      </c>
      <c r="E89">
        <v>204</v>
      </c>
      <c r="F89">
        <v>2</v>
      </c>
      <c r="G89">
        <v>5</v>
      </c>
      <c r="H89" s="11" t="s">
        <v>828</v>
      </c>
    </row>
    <row r="90" spans="2:8">
      <c r="B90">
        <v>805</v>
      </c>
      <c r="C90" s="11" t="s">
        <v>423</v>
      </c>
      <c r="D90">
        <v>45</v>
      </c>
      <c r="E90">
        <v>205</v>
      </c>
      <c r="F90">
        <v>1</v>
      </c>
      <c r="G90">
        <v>8</v>
      </c>
      <c r="H90" s="11" t="s">
        <v>322</v>
      </c>
    </row>
    <row r="91" spans="2:8">
      <c r="B91">
        <v>805</v>
      </c>
      <c r="C91" s="11" t="s">
        <v>423</v>
      </c>
      <c r="D91">
        <v>-45</v>
      </c>
      <c r="E91">
        <v>205</v>
      </c>
      <c r="F91">
        <v>1</v>
      </c>
      <c r="G91">
        <v>8</v>
      </c>
      <c r="H91" s="11" t="s">
        <v>322</v>
      </c>
    </row>
    <row r="92" spans="2:8">
      <c r="B92">
        <v>805</v>
      </c>
      <c r="C92" s="11" t="s">
        <v>423</v>
      </c>
      <c r="D92">
        <v>225</v>
      </c>
      <c r="E92">
        <v>205</v>
      </c>
      <c r="F92">
        <v>1</v>
      </c>
      <c r="G92">
        <v>8</v>
      </c>
      <c r="H92" s="11" t="s">
        <v>322</v>
      </c>
    </row>
    <row r="93" spans="2:8">
      <c r="B93">
        <v>805</v>
      </c>
      <c r="C93" s="11" t="s">
        <v>423</v>
      </c>
      <c r="D93">
        <v>-225</v>
      </c>
      <c r="E93">
        <v>205</v>
      </c>
      <c r="F93">
        <v>1</v>
      </c>
      <c r="G93">
        <v>8</v>
      </c>
      <c r="H93" s="11" t="s">
        <v>322</v>
      </c>
    </row>
    <row r="94" spans="2:8">
      <c r="B94">
        <v>806</v>
      </c>
      <c r="C94" s="11" t="s">
        <v>881</v>
      </c>
      <c r="D94">
        <v>0</v>
      </c>
      <c r="E94">
        <v>206</v>
      </c>
      <c r="F94">
        <v>0</v>
      </c>
      <c r="G94">
        <v>16</v>
      </c>
      <c r="H94" s="11" t="s">
        <v>963</v>
      </c>
    </row>
    <row r="95" spans="2:8">
      <c r="B95">
        <v>806</v>
      </c>
      <c r="C95" s="11" t="s">
        <v>881</v>
      </c>
      <c r="D95">
        <v>15</v>
      </c>
      <c r="E95">
        <v>206</v>
      </c>
      <c r="F95">
        <v>0</v>
      </c>
      <c r="G95">
        <v>16</v>
      </c>
      <c r="H95" s="11" t="s">
        <v>963</v>
      </c>
    </row>
    <row r="96" spans="2:8">
      <c r="B96">
        <v>806</v>
      </c>
      <c r="C96" s="11" t="s">
        <v>881</v>
      </c>
      <c r="D96">
        <v>-15</v>
      </c>
      <c r="E96">
        <v>206</v>
      </c>
      <c r="F96">
        <v>0</v>
      </c>
      <c r="G96">
        <v>16</v>
      </c>
      <c r="H96" s="11" t="s">
        <v>963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322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322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322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322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322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322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322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322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322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322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322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322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322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322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322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322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322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322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322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322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322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322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322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322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322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322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322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322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322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322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322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322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322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322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322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322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322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322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322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322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322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322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322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322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322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322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322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322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322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322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322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322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322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322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322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322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322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322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322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322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322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322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322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322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322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322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322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322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322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322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322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322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322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322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322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322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322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322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322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322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322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322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322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322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322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322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322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322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322</v>
      </c>
    </row>
    <row r="186" spans="2:8">
      <c r="B186">
        <v>2001</v>
      </c>
      <c r="C186" s="16" t="s">
        <v>797</v>
      </c>
      <c r="D186">
        <v>0</v>
      </c>
      <c r="E186">
        <v>2001</v>
      </c>
      <c r="F186">
        <v>1</v>
      </c>
      <c r="G186">
        <v>5</v>
      </c>
      <c r="H186" s="11" t="s">
        <v>322</v>
      </c>
    </row>
    <row r="187" spans="2:8">
      <c r="B187">
        <v>2002</v>
      </c>
      <c r="C187" s="16" t="s">
        <v>798</v>
      </c>
      <c r="D187">
        <v>25</v>
      </c>
      <c r="E187">
        <v>2001</v>
      </c>
      <c r="F187">
        <v>2</v>
      </c>
      <c r="G187">
        <v>7</v>
      </c>
      <c r="H187" s="11" t="s">
        <v>322</v>
      </c>
    </row>
    <row r="188" spans="2:8">
      <c r="B188">
        <v>2002</v>
      </c>
      <c r="C188" s="16" t="s">
        <v>798</v>
      </c>
      <c r="D188">
        <v>0</v>
      </c>
      <c r="E188">
        <v>2001</v>
      </c>
      <c r="F188">
        <v>2</v>
      </c>
      <c r="G188">
        <v>7</v>
      </c>
      <c r="H188" s="11" t="s">
        <v>322</v>
      </c>
    </row>
    <row r="189" spans="2:8">
      <c r="B189">
        <v>2002</v>
      </c>
      <c r="C189" s="16" t="s">
        <v>798</v>
      </c>
      <c r="D189">
        <v>-25</v>
      </c>
      <c r="E189">
        <v>2001</v>
      </c>
      <c r="F189">
        <v>2</v>
      </c>
      <c r="G189">
        <v>7</v>
      </c>
      <c r="H189" s="11" t="s">
        <v>322</v>
      </c>
    </row>
    <row r="190" spans="2:8">
      <c r="B190">
        <v>2003</v>
      </c>
      <c r="C190" s="11" t="s">
        <v>814</v>
      </c>
      <c r="D190">
        <v>96</v>
      </c>
      <c r="E190">
        <v>2001</v>
      </c>
      <c r="F190">
        <v>0</v>
      </c>
      <c r="G190">
        <v>5</v>
      </c>
      <c r="H190" s="11" t="s">
        <v>322</v>
      </c>
    </row>
    <row r="191" spans="2:8">
      <c r="B191">
        <v>2003</v>
      </c>
      <c r="C191" s="11" t="s">
        <v>814</v>
      </c>
      <c r="D191">
        <v>213</v>
      </c>
      <c r="E191">
        <v>2001</v>
      </c>
      <c r="F191">
        <v>0</v>
      </c>
      <c r="G191">
        <v>5</v>
      </c>
      <c r="H191" s="11" t="s">
        <v>322</v>
      </c>
    </row>
    <row r="192" spans="2:8">
      <c r="B192">
        <v>2003</v>
      </c>
      <c r="C192" s="11" t="s">
        <v>814</v>
      </c>
      <c r="D192">
        <v>153</v>
      </c>
      <c r="E192">
        <v>2001</v>
      </c>
      <c r="F192">
        <v>0</v>
      </c>
      <c r="G192">
        <v>5</v>
      </c>
      <c r="H192" s="11" t="s">
        <v>322</v>
      </c>
    </row>
    <row r="193" spans="2:8">
      <c r="B193">
        <v>2004</v>
      </c>
      <c r="C193" s="11" t="s">
        <v>815</v>
      </c>
      <c r="D193">
        <v>264</v>
      </c>
      <c r="E193">
        <v>2001</v>
      </c>
      <c r="F193">
        <v>0</v>
      </c>
      <c r="G193">
        <v>5</v>
      </c>
      <c r="H193" s="11" t="s">
        <v>322</v>
      </c>
    </row>
    <row r="194" spans="2:8">
      <c r="B194">
        <v>2004</v>
      </c>
      <c r="C194" s="11" t="s">
        <v>815</v>
      </c>
      <c r="D194">
        <v>124</v>
      </c>
      <c r="E194">
        <v>2001</v>
      </c>
      <c r="F194">
        <v>0</v>
      </c>
      <c r="G194">
        <v>5</v>
      </c>
      <c r="H194" s="11" t="s">
        <v>322</v>
      </c>
    </row>
    <row r="195" spans="2:8">
      <c r="B195">
        <v>2004</v>
      </c>
      <c r="C195" s="11" t="s">
        <v>815</v>
      </c>
      <c r="D195">
        <v>188</v>
      </c>
      <c r="E195">
        <v>2001</v>
      </c>
      <c r="F195">
        <v>0</v>
      </c>
      <c r="G195">
        <v>5</v>
      </c>
      <c r="H195" s="11" t="s">
        <v>322</v>
      </c>
    </row>
    <row r="196" spans="2:8">
      <c r="B196">
        <v>2005</v>
      </c>
      <c r="C196" s="11" t="s">
        <v>816</v>
      </c>
      <c r="D196">
        <v>59</v>
      </c>
      <c r="E196">
        <v>2001</v>
      </c>
      <c r="F196">
        <v>0</v>
      </c>
      <c r="G196">
        <v>5</v>
      </c>
      <c r="H196" s="11" t="s">
        <v>322</v>
      </c>
    </row>
    <row r="197" spans="2:8">
      <c r="B197">
        <v>2005</v>
      </c>
      <c r="C197" s="11" t="s">
        <v>816</v>
      </c>
      <c r="D197">
        <v>30</v>
      </c>
      <c r="E197">
        <v>2001</v>
      </c>
      <c r="F197">
        <v>0</v>
      </c>
      <c r="G197">
        <v>5</v>
      </c>
      <c r="H197" s="11" t="s">
        <v>322</v>
      </c>
    </row>
    <row r="198" spans="2:8">
      <c r="B198">
        <v>2005</v>
      </c>
      <c r="C198" s="11" t="s">
        <v>816</v>
      </c>
      <c r="D198">
        <v>120</v>
      </c>
      <c r="E198">
        <v>2001</v>
      </c>
      <c r="F198">
        <v>0</v>
      </c>
      <c r="G198">
        <v>5</v>
      </c>
      <c r="H198" s="11" t="s">
        <v>322</v>
      </c>
    </row>
    <row r="199" spans="2:8">
      <c r="B199">
        <v>2006</v>
      </c>
      <c r="C199" s="11" t="s">
        <v>817</v>
      </c>
      <c r="D199">
        <v>90</v>
      </c>
      <c r="E199">
        <v>2001</v>
      </c>
      <c r="F199">
        <v>0</v>
      </c>
      <c r="G199">
        <v>5</v>
      </c>
      <c r="H199" s="11" t="s">
        <v>322</v>
      </c>
    </row>
    <row r="200" spans="2:8">
      <c r="B200">
        <v>2006</v>
      </c>
      <c r="C200" s="11" t="s">
        <v>817</v>
      </c>
      <c r="D200">
        <v>350</v>
      </c>
      <c r="E200">
        <v>2001</v>
      </c>
      <c r="F200">
        <v>0</v>
      </c>
      <c r="G200">
        <v>5</v>
      </c>
      <c r="H200" s="11" t="s">
        <v>322</v>
      </c>
    </row>
    <row r="201" spans="2:8">
      <c r="B201">
        <v>2006</v>
      </c>
      <c r="C201" s="11" t="s">
        <v>817</v>
      </c>
      <c r="D201">
        <v>72</v>
      </c>
      <c r="E201">
        <v>2001</v>
      </c>
      <c r="F201">
        <v>0</v>
      </c>
      <c r="G201">
        <v>5</v>
      </c>
      <c r="H201" s="11" t="s">
        <v>322</v>
      </c>
    </row>
    <row r="202" spans="2:8">
      <c r="B202">
        <v>2007</v>
      </c>
      <c r="C202" s="11" t="s">
        <v>818</v>
      </c>
      <c r="D202">
        <v>255</v>
      </c>
      <c r="E202">
        <v>2001</v>
      </c>
      <c r="F202">
        <v>0</v>
      </c>
      <c r="G202">
        <v>5</v>
      </c>
      <c r="H202" s="11" t="s">
        <v>322</v>
      </c>
    </row>
    <row r="203" spans="2:8">
      <c r="B203">
        <v>2007</v>
      </c>
      <c r="C203" s="11" t="s">
        <v>818</v>
      </c>
      <c r="D203">
        <v>25</v>
      </c>
      <c r="E203">
        <v>2001</v>
      </c>
      <c r="F203">
        <v>0</v>
      </c>
      <c r="G203">
        <v>5</v>
      </c>
      <c r="H203" s="11" t="s">
        <v>322</v>
      </c>
    </row>
    <row r="204" spans="2:8">
      <c r="B204">
        <v>2007</v>
      </c>
      <c r="C204" s="11" t="s">
        <v>818</v>
      </c>
      <c r="D204">
        <v>105</v>
      </c>
      <c r="E204">
        <v>2001</v>
      </c>
      <c r="F204">
        <v>0</v>
      </c>
      <c r="G204">
        <v>5</v>
      </c>
      <c r="H204" s="11" t="s">
        <v>322</v>
      </c>
    </row>
    <row r="205" spans="2:8">
      <c r="B205">
        <v>3001</v>
      </c>
      <c r="C205" s="11" t="s">
        <v>825</v>
      </c>
      <c r="D205">
        <v>-90</v>
      </c>
      <c r="E205">
        <v>3001</v>
      </c>
      <c r="F205">
        <v>1</v>
      </c>
      <c r="G205">
        <v>5.5</v>
      </c>
      <c r="H205" s="11" t="s">
        <v>828</v>
      </c>
    </row>
    <row r="206" spans="2:8">
      <c r="B206">
        <v>3002</v>
      </c>
      <c r="C206" s="11" t="s">
        <v>824</v>
      </c>
      <c r="D206">
        <v>-90</v>
      </c>
      <c r="E206">
        <v>3002</v>
      </c>
      <c r="F206">
        <v>1</v>
      </c>
      <c r="G206">
        <v>5</v>
      </c>
      <c r="H206" s="11" t="s">
        <v>828</v>
      </c>
    </row>
    <row r="207" spans="2:8">
      <c r="B207">
        <v>3101</v>
      </c>
      <c r="C207" s="11" t="s">
        <v>830</v>
      </c>
      <c r="D207">
        <v>185</v>
      </c>
      <c r="E207">
        <v>3003</v>
      </c>
      <c r="F207">
        <v>0</v>
      </c>
      <c r="G207">
        <v>3</v>
      </c>
      <c r="H207" s="11" t="s">
        <v>322</v>
      </c>
    </row>
    <row r="208" spans="2:8">
      <c r="B208">
        <v>3102</v>
      </c>
      <c r="C208" s="11" t="s">
        <v>830</v>
      </c>
      <c r="D208">
        <v>190</v>
      </c>
      <c r="E208">
        <v>3004</v>
      </c>
      <c r="F208">
        <v>0</v>
      </c>
      <c r="G208">
        <v>3.5</v>
      </c>
      <c r="H208" s="11" t="s">
        <v>322</v>
      </c>
    </row>
    <row r="209" spans="2:8">
      <c r="B209">
        <v>3103</v>
      </c>
      <c r="C209" s="11" t="s">
        <v>830</v>
      </c>
      <c r="D209">
        <v>195</v>
      </c>
      <c r="E209">
        <v>3003</v>
      </c>
      <c r="F209">
        <v>0</v>
      </c>
      <c r="G209">
        <v>3</v>
      </c>
      <c r="H209" s="11" t="s">
        <v>322</v>
      </c>
    </row>
    <row r="210" spans="2:8">
      <c r="B210">
        <v>3104</v>
      </c>
      <c r="C210" s="11" t="s">
        <v>830</v>
      </c>
      <c r="D210">
        <v>200</v>
      </c>
      <c r="E210">
        <v>3004</v>
      </c>
      <c r="F210">
        <v>0</v>
      </c>
      <c r="G210">
        <v>3.5</v>
      </c>
      <c r="H210" s="11" t="s">
        <v>322</v>
      </c>
    </row>
    <row r="211" spans="2:8">
      <c r="B211">
        <v>3105</v>
      </c>
      <c r="C211" s="11" t="s">
        <v>830</v>
      </c>
      <c r="D211">
        <v>205</v>
      </c>
      <c r="E211">
        <v>3003</v>
      </c>
      <c r="F211">
        <v>0</v>
      </c>
      <c r="G211">
        <v>3</v>
      </c>
      <c r="H211" s="11" t="s">
        <v>322</v>
      </c>
    </row>
    <row r="212" spans="2:8">
      <c r="B212">
        <v>3106</v>
      </c>
      <c r="C212" s="11" t="s">
        <v>830</v>
      </c>
      <c r="D212" s="11">
        <v>210</v>
      </c>
      <c r="E212">
        <v>3004</v>
      </c>
      <c r="F212">
        <v>0</v>
      </c>
      <c r="G212">
        <v>3.5</v>
      </c>
      <c r="H212" s="11" t="s">
        <v>322</v>
      </c>
    </row>
    <row r="213" spans="2:8">
      <c r="B213">
        <v>3107</v>
      </c>
      <c r="C213" s="11" t="s">
        <v>830</v>
      </c>
      <c r="D213">
        <v>215</v>
      </c>
      <c r="E213">
        <v>3003</v>
      </c>
      <c r="F213">
        <v>0</v>
      </c>
      <c r="G213">
        <v>3</v>
      </c>
      <c r="H213" s="11" t="s">
        <v>322</v>
      </c>
    </row>
    <row r="214" spans="2:8">
      <c r="B214">
        <v>3108</v>
      </c>
      <c r="C214" s="11" t="s">
        <v>830</v>
      </c>
      <c r="D214">
        <v>220</v>
      </c>
      <c r="E214">
        <v>3004</v>
      </c>
      <c r="F214">
        <v>0</v>
      </c>
      <c r="G214">
        <v>3.5</v>
      </c>
      <c r="H214" s="11" t="s">
        <v>322</v>
      </c>
    </row>
    <row r="215" spans="2:8">
      <c r="B215">
        <v>3109</v>
      </c>
      <c r="C215" s="11" t="s">
        <v>830</v>
      </c>
      <c r="D215">
        <v>-185</v>
      </c>
      <c r="E215">
        <v>3003</v>
      </c>
      <c r="F215">
        <v>0</v>
      </c>
      <c r="G215">
        <v>3</v>
      </c>
      <c r="H215" s="11" t="s">
        <v>322</v>
      </c>
    </row>
    <row r="216" spans="2:8">
      <c r="B216">
        <v>3110</v>
      </c>
      <c r="C216" s="11" t="s">
        <v>830</v>
      </c>
      <c r="D216">
        <v>-190</v>
      </c>
      <c r="E216">
        <v>3004</v>
      </c>
      <c r="F216">
        <v>0</v>
      </c>
      <c r="G216">
        <v>3.5</v>
      </c>
      <c r="H216" s="11" t="s">
        <v>322</v>
      </c>
    </row>
    <row r="217" spans="2:8">
      <c r="B217">
        <v>3111</v>
      </c>
      <c r="C217" s="11" t="s">
        <v>830</v>
      </c>
      <c r="D217">
        <v>-195</v>
      </c>
      <c r="E217">
        <v>3003</v>
      </c>
      <c r="F217">
        <v>0</v>
      </c>
      <c r="G217">
        <v>3</v>
      </c>
      <c r="H217" s="11" t="s">
        <v>322</v>
      </c>
    </row>
    <row r="218" spans="2:8">
      <c r="B218">
        <v>3112</v>
      </c>
      <c r="C218" s="11" t="s">
        <v>830</v>
      </c>
      <c r="D218">
        <v>-200</v>
      </c>
      <c r="E218">
        <v>3004</v>
      </c>
      <c r="F218">
        <v>0</v>
      </c>
      <c r="G218">
        <v>3.5</v>
      </c>
      <c r="H218" s="11" t="s">
        <v>322</v>
      </c>
    </row>
    <row r="219" spans="2:8">
      <c r="B219">
        <v>3113</v>
      </c>
      <c r="C219" s="11" t="s">
        <v>830</v>
      </c>
      <c r="D219">
        <v>-205</v>
      </c>
      <c r="E219">
        <v>3003</v>
      </c>
      <c r="F219">
        <v>0</v>
      </c>
      <c r="G219">
        <v>3</v>
      </c>
      <c r="H219" s="11" t="s">
        <v>322</v>
      </c>
    </row>
    <row r="220" spans="2:8">
      <c r="B220">
        <v>3114</v>
      </c>
      <c r="C220" s="11" t="s">
        <v>830</v>
      </c>
      <c r="D220" s="11">
        <v>-210</v>
      </c>
      <c r="E220">
        <v>3004</v>
      </c>
      <c r="F220">
        <v>0</v>
      </c>
      <c r="G220">
        <v>3.5</v>
      </c>
      <c r="H220" s="11" t="s">
        <v>322</v>
      </c>
    </row>
    <row r="221" spans="2:8">
      <c r="B221">
        <v>3115</v>
      </c>
      <c r="C221" s="11" t="s">
        <v>830</v>
      </c>
      <c r="D221">
        <v>-215</v>
      </c>
      <c r="E221">
        <v>3003</v>
      </c>
      <c r="F221">
        <v>0</v>
      </c>
      <c r="G221">
        <v>3</v>
      </c>
      <c r="H221" s="11" t="s">
        <v>322</v>
      </c>
    </row>
    <row r="222" spans="2:8">
      <c r="B222">
        <v>3116</v>
      </c>
      <c r="C222" s="11" t="s">
        <v>830</v>
      </c>
      <c r="D222">
        <v>-220</v>
      </c>
      <c r="E222">
        <v>3004</v>
      </c>
      <c r="F222">
        <v>0</v>
      </c>
      <c r="G222">
        <v>3.5</v>
      </c>
      <c r="H222" s="11" t="s">
        <v>322</v>
      </c>
    </row>
    <row r="223" spans="2:8">
      <c r="B223">
        <v>3201</v>
      </c>
      <c r="C223" s="11" t="s">
        <v>829</v>
      </c>
      <c r="D223">
        <v>22.5</v>
      </c>
      <c r="E223">
        <v>3003</v>
      </c>
      <c r="F223">
        <v>0</v>
      </c>
      <c r="G223">
        <v>6</v>
      </c>
      <c r="H223" s="11" t="s">
        <v>322</v>
      </c>
    </row>
    <row r="224" spans="2:8">
      <c r="B224">
        <v>3201</v>
      </c>
      <c r="C224" s="11" t="s">
        <v>829</v>
      </c>
      <c r="D224">
        <v>67.5</v>
      </c>
      <c r="E224">
        <v>3004</v>
      </c>
      <c r="F224">
        <v>0</v>
      </c>
      <c r="G224">
        <v>6</v>
      </c>
      <c r="H224" s="11" t="s">
        <v>322</v>
      </c>
    </row>
    <row r="225" spans="2:8">
      <c r="B225">
        <v>3201</v>
      </c>
      <c r="C225" s="11" t="s">
        <v>829</v>
      </c>
      <c r="D225">
        <v>112.5</v>
      </c>
      <c r="E225">
        <v>3003</v>
      </c>
      <c r="F225">
        <v>0</v>
      </c>
      <c r="G225">
        <v>6</v>
      </c>
      <c r="H225" s="11" t="s">
        <v>322</v>
      </c>
    </row>
    <row r="226" spans="2:8">
      <c r="B226">
        <v>3201</v>
      </c>
      <c r="C226" s="11" t="s">
        <v>829</v>
      </c>
      <c r="D226">
        <v>157.5</v>
      </c>
      <c r="E226">
        <v>3004</v>
      </c>
      <c r="F226">
        <v>0</v>
      </c>
      <c r="G226">
        <v>6</v>
      </c>
      <c r="H226" s="11" t="s">
        <v>322</v>
      </c>
    </row>
    <row r="227" spans="2:8">
      <c r="B227">
        <v>3201</v>
      </c>
      <c r="C227" s="11" t="s">
        <v>829</v>
      </c>
      <c r="D227">
        <v>202.5</v>
      </c>
      <c r="E227">
        <v>3003</v>
      </c>
      <c r="F227">
        <v>0</v>
      </c>
      <c r="G227">
        <v>6</v>
      </c>
      <c r="H227" s="11" t="s">
        <v>322</v>
      </c>
    </row>
    <row r="228" spans="2:8">
      <c r="B228">
        <v>3201</v>
      </c>
      <c r="C228" s="11" t="s">
        <v>829</v>
      </c>
      <c r="D228">
        <v>247.5</v>
      </c>
      <c r="E228">
        <v>3004</v>
      </c>
      <c r="F228">
        <v>0</v>
      </c>
      <c r="G228">
        <v>6</v>
      </c>
      <c r="H228" s="11" t="s">
        <v>322</v>
      </c>
    </row>
    <row r="229" spans="2:8">
      <c r="B229">
        <v>3201</v>
      </c>
      <c r="C229" s="11" t="s">
        <v>829</v>
      </c>
      <c r="D229">
        <v>292.5</v>
      </c>
      <c r="E229">
        <v>3003</v>
      </c>
      <c r="F229">
        <v>0</v>
      </c>
      <c r="G229">
        <v>6</v>
      </c>
      <c r="H229" s="11" t="s">
        <v>322</v>
      </c>
    </row>
    <row r="230" spans="2:8">
      <c r="B230">
        <v>3201</v>
      </c>
      <c r="C230" s="11" t="s">
        <v>829</v>
      </c>
      <c r="D230">
        <v>337.5</v>
      </c>
      <c r="E230">
        <v>3004</v>
      </c>
      <c r="F230">
        <v>0</v>
      </c>
      <c r="G230">
        <v>6</v>
      </c>
      <c r="H230" s="11" t="s">
        <v>322</v>
      </c>
    </row>
    <row r="231" spans="2:8">
      <c r="B231">
        <v>3202</v>
      </c>
      <c r="C231" s="11" t="s">
        <v>829</v>
      </c>
      <c r="D231">
        <v>45</v>
      </c>
      <c r="E231">
        <v>3003</v>
      </c>
      <c r="F231">
        <v>0</v>
      </c>
      <c r="G231">
        <v>7</v>
      </c>
      <c r="H231" s="11" t="s">
        <v>322</v>
      </c>
    </row>
    <row r="232" spans="2:8">
      <c r="B232">
        <v>3202</v>
      </c>
      <c r="C232" s="11" t="s">
        <v>829</v>
      </c>
      <c r="D232">
        <v>90</v>
      </c>
      <c r="E232">
        <v>3004</v>
      </c>
      <c r="F232">
        <v>0</v>
      </c>
      <c r="G232">
        <v>7</v>
      </c>
      <c r="H232" s="11" t="s">
        <v>322</v>
      </c>
    </row>
    <row r="233" spans="2:8">
      <c r="B233">
        <v>3202</v>
      </c>
      <c r="C233" s="11" t="s">
        <v>829</v>
      </c>
      <c r="D233">
        <v>135</v>
      </c>
      <c r="E233">
        <v>3003</v>
      </c>
      <c r="F233">
        <v>0</v>
      </c>
      <c r="G233">
        <v>7</v>
      </c>
      <c r="H233" s="11" t="s">
        <v>322</v>
      </c>
    </row>
    <row r="234" spans="2:8">
      <c r="B234">
        <v>3202</v>
      </c>
      <c r="C234" s="11" t="s">
        <v>829</v>
      </c>
      <c r="D234">
        <v>180</v>
      </c>
      <c r="E234">
        <v>3004</v>
      </c>
      <c r="F234">
        <v>0</v>
      </c>
      <c r="G234">
        <v>7</v>
      </c>
      <c r="H234" s="11" t="s">
        <v>322</v>
      </c>
    </row>
    <row r="235" spans="2:8">
      <c r="B235">
        <v>3202</v>
      </c>
      <c r="C235" s="11" t="s">
        <v>829</v>
      </c>
      <c r="D235">
        <v>225</v>
      </c>
      <c r="E235">
        <v>3003</v>
      </c>
      <c r="F235">
        <v>0</v>
      </c>
      <c r="G235">
        <v>7</v>
      </c>
      <c r="H235" s="11" t="s">
        <v>322</v>
      </c>
    </row>
    <row r="236" spans="2:8">
      <c r="B236">
        <v>3202</v>
      </c>
      <c r="C236" s="11" t="s">
        <v>829</v>
      </c>
      <c r="D236">
        <v>270</v>
      </c>
      <c r="E236">
        <v>3004</v>
      </c>
      <c r="F236">
        <v>0</v>
      </c>
      <c r="G236">
        <v>7</v>
      </c>
      <c r="H236" s="11" t="s">
        <v>322</v>
      </c>
    </row>
    <row r="237" spans="2:8">
      <c r="B237">
        <v>3202</v>
      </c>
      <c r="C237" s="11" t="s">
        <v>829</v>
      </c>
      <c r="D237">
        <v>315</v>
      </c>
      <c r="E237">
        <v>3003</v>
      </c>
      <c r="F237">
        <v>0</v>
      </c>
      <c r="G237">
        <v>7</v>
      </c>
      <c r="H237" s="11" t="s">
        <v>322</v>
      </c>
    </row>
    <row r="238" spans="2:8">
      <c r="B238">
        <v>3202</v>
      </c>
      <c r="C238" s="11" t="s">
        <v>829</v>
      </c>
      <c r="D238">
        <v>360</v>
      </c>
      <c r="E238">
        <v>3004</v>
      </c>
      <c r="F238">
        <v>0</v>
      </c>
      <c r="G238">
        <v>7</v>
      </c>
      <c r="H238" s="11" t="s">
        <v>322</v>
      </c>
    </row>
    <row r="239" spans="2:8">
      <c r="B239">
        <v>3301</v>
      </c>
      <c r="C239" s="16" t="s">
        <v>871</v>
      </c>
      <c r="D239">
        <v>0</v>
      </c>
      <c r="E239">
        <v>3004</v>
      </c>
      <c r="F239">
        <v>1</v>
      </c>
      <c r="G239">
        <v>6</v>
      </c>
      <c r="H239" s="11" t="s">
        <v>322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tabSelected="1" zoomScaleNormal="75" zoomScaleSheetLayoutView="100" workbookViewId="0">
      <selection activeCell="K17" sqref="K17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354</v>
      </c>
      <c r="D4" t="b">
        <v>1</v>
      </c>
      <c r="E4">
        <v>0.8</v>
      </c>
      <c r="F4">
        <v>5</v>
      </c>
      <c r="G4" s="11" t="s">
        <v>383</v>
      </c>
    </row>
    <row r="5" spans="2:7">
      <c r="B5">
        <v>204</v>
      </c>
      <c r="C5" s="14" t="s">
        <v>382</v>
      </c>
      <c r="D5" t="b">
        <v>1</v>
      </c>
      <c r="E5">
        <v>1.2</v>
      </c>
      <c r="F5">
        <v>25</v>
      </c>
      <c r="G5" s="11" t="s">
        <v>775</v>
      </c>
    </row>
    <row r="6" spans="2:7">
      <c r="B6">
        <v>205</v>
      </c>
      <c r="C6" s="14" t="s">
        <v>424</v>
      </c>
      <c r="D6" t="b">
        <v>1</v>
      </c>
      <c r="E6">
        <v>0.8</v>
      </c>
      <c r="F6">
        <v>5</v>
      </c>
      <c r="G6" s="11" t="s">
        <v>393</v>
      </c>
    </row>
    <row r="7" spans="2:7">
      <c r="B7">
        <v>206</v>
      </c>
      <c r="C7" s="14" t="s">
        <v>881</v>
      </c>
      <c r="D7" t="b">
        <v>0</v>
      </c>
      <c r="E7">
        <v>2</v>
      </c>
      <c r="F7">
        <v>50</v>
      </c>
      <c r="G7" s="11" t="s">
        <v>775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269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270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291</v>
      </c>
    </row>
    <row r="16" spans="2:7">
      <c r="B16">
        <v>2000</v>
      </c>
      <c r="C16" s="18" t="s">
        <v>800</v>
      </c>
      <c r="D16" t="b">
        <v>1</v>
      </c>
      <c r="E16">
        <v>2</v>
      </c>
      <c r="F16">
        <v>25</v>
      </c>
      <c r="G16" s="16" t="s">
        <v>796</v>
      </c>
    </row>
    <row r="17" spans="2:7">
      <c r="B17">
        <v>2001</v>
      </c>
      <c r="C17" s="18" t="s">
        <v>799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827</v>
      </c>
      <c r="D18" t="b">
        <v>1</v>
      </c>
      <c r="E18">
        <v>2</v>
      </c>
      <c r="F18">
        <v>25</v>
      </c>
      <c r="G18" s="16" t="s">
        <v>869</v>
      </c>
    </row>
    <row r="19" spans="2:7">
      <c r="B19">
        <v>3002</v>
      </c>
      <c r="C19" s="14" t="s">
        <v>826</v>
      </c>
      <c r="D19" t="b">
        <v>1</v>
      </c>
      <c r="E19">
        <v>2</v>
      </c>
      <c r="F19">
        <v>25</v>
      </c>
      <c r="G19" s="16" t="s">
        <v>870</v>
      </c>
    </row>
    <row r="20" spans="2:7">
      <c r="B20">
        <v>3003</v>
      </c>
      <c r="C20" s="14" t="s">
        <v>866</v>
      </c>
      <c r="D20" t="b">
        <v>1</v>
      </c>
      <c r="E20">
        <v>1</v>
      </c>
      <c r="F20">
        <v>25</v>
      </c>
      <c r="G20" s="16" t="s">
        <v>867</v>
      </c>
    </row>
    <row r="21" spans="2:7">
      <c r="B21">
        <v>3004</v>
      </c>
      <c r="C21" s="14" t="s">
        <v>865</v>
      </c>
      <c r="D21" t="b">
        <v>1</v>
      </c>
      <c r="E21">
        <v>1</v>
      </c>
      <c r="F21">
        <v>25</v>
      </c>
      <c r="G21" s="16" t="s">
        <v>868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B14" sqref="B14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0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862</v>
      </c>
      <c r="C2" s="73" t="s">
        <v>781</v>
      </c>
      <c r="D2" s="73" t="s">
        <v>840</v>
      </c>
      <c r="E2" s="73" t="s">
        <v>841</v>
      </c>
      <c r="F2" s="73" t="s">
        <v>842</v>
      </c>
      <c r="G2" s="75" t="s">
        <v>863</v>
      </c>
      <c r="H2" s="54" t="s">
        <v>41</v>
      </c>
      <c r="I2" s="54" t="s">
        <v>100</v>
      </c>
      <c r="J2" s="54" t="s">
        <v>342</v>
      </c>
      <c r="K2" s="54" t="s">
        <v>343</v>
      </c>
      <c r="L2" s="54" t="s">
        <v>157</v>
      </c>
      <c r="M2" s="54" t="s">
        <v>782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529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843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437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438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439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440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872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420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441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1155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때\n5%확률로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1020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1082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446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992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1021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1083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1022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1081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1084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1085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341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449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341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341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451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341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452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341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964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341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453</v>
      </c>
    </row>
  </sheetData>
  <phoneticPr fontId="6" type="noConversion"/>
  <conditionalFormatting sqref="B1:R1048576">
    <cfRule type="expression" dxfId="6" priority="5">
      <formula>$L1="Active"</formula>
    </cfRule>
    <cfRule type="expression" dxfId="5" priority="6">
      <formula>$L1="Cursed"</formula>
    </cfRule>
    <cfRule type="expression" dxfId="4" priority="7">
      <formula>$L1="Rare"</formula>
    </cfRule>
    <cfRule type="expression" dxfId="3" priority="8">
      <formula>$L1="Normal"</formula>
    </cfRule>
  </conditionalFormatting>
  <conditionalFormatting sqref="A1:XFD1048576">
    <cfRule type="expression" dxfId="2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1" priority="4">
      <formula>LEFT(B$2,1)="#"</formula>
    </cfRule>
  </conditionalFormatting>
  <conditionalFormatting sqref="B34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45" sqref="F45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300</v>
      </c>
      <c r="F1" s="16" t="s">
        <v>300</v>
      </c>
      <c r="G1" s="16" t="s">
        <v>302</v>
      </c>
      <c r="H1" t="s">
        <v>65</v>
      </c>
      <c r="I1" s="16" t="s">
        <v>316</v>
      </c>
      <c r="J1" t="s">
        <v>65</v>
      </c>
      <c r="K1" s="16" t="s">
        <v>302</v>
      </c>
    </row>
    <row r="2" spans="2:19">
      <c r="B2" s="66" t="s">
        <v>781</v>
      </c>
      <c r="C2" s="66" t="s">
        <v>67</v>
      </c>
      <c r="D2" t="s">
        <v>38</v>
      </c>
      <c r="E2" s="16" t="s">
        <v>325</v>
      </c>
      <c r="F2" s="16" t="s">
        <v>326</v>
      </c>
      <c r="G2" s="16" t="s">
        <v>303</v>
      </c>
      <c r="H2" s="16" t="s">
        <v>304</v>
      </c>
      <c r="I2" s="30" t="s">
        <v>306</v>
      </c>
      <c r="J2" s="16" t="s">
        <v>305</v>
      </c>
      <c r="K2" s="30" t="s">
        <v>321</v>
      </c>
      <c r="L2" s="65" t="s">
        <v>617</v>
      </c>
      <c r="M2" s="65" t="s">
        <v>619</v>
      </c>
      <c r="N2" s="65" t="s">
        <v>618</v>
      </c>
      <c r="O2" s="65" t="s">
        <v>689</v>
      </c>
      <c r="P2" s="65" t="s">
        <v>690</v>
      </c>
      <c r="Q2" s="65" t="s">
        <v>691</v>
      </c>
      <c r="R2" s="65" t="s">
        <v>692</v>
      </c>
      <c r="S2" s="65" t="s">
        <v>693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323</v>
      </c>
      <c r="I3" s="16"/>
      <c r="J3" s="16" t="s">
        <v>322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323</v>
      </c>
      <c r="J4" s="16" t="s">
        <v>322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323</v>
      </c>
      <c r="I5" s="16"/>
      <c r="J5" s="16" t="s">
        <v>322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978</v>
      </c>
      <c r="J6" s="16" t="s">
        <v>322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323</v>
      </c>
      <c r="J7" s="16" t="s">
        <v>322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323</v>
      </c>
      <c r="J8" s="16" t="s">
        <v>322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323</v>
      </c>
      <c r="J9" s="16" t="s">
        <v>322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973</v>
      </c>
      <c r="J10" s="16" t="s">
        <v>322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421</v>
      </c>
      <c r="J11" s="16" t="s">
        <v>322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349</v>
      </c>
      <c r="J12" s="16" t="s">
        <v>422</v>
      </c>
      <c r="K12">
        <v>500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820</v>
      </c>
      <c r="J13" s="16" t="s">
        <v>322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323</v>
      </c>
      <c r="J14" s="16" t="s">
        <v>322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323</v>
      </c>
      <c r="J15" s="16" t="s">
        <v>322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339</v>
      </c>
      <c r="I16" s="11" t="s">
        <v>819</v>
      </c>
      <c r="J16" s="16" t="s">
        <v>969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339</v>
      </c>
      <c r="I17" s="16" t="s">
        <v>819</v>
      </c>
      <c r="J17" s="11" t="s">
        <v>970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876</v>
      </c>
      <c r="I18" s="11" t="s">
        <v>819</v>
      </c>
      <c r="J18" s="11" t="s">
        <v>858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876</v>
      </c>
      <c r="J19" s="16" t="s">
        <v>322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983</v>
      </c>
      <c r="J20" s="16" t="s">
        <v>322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991</v>
      </c>
      <c r="I21" s="11" t="s">
        <v>819</v>
      </c>
      <c r="J21" s="16" t="s">
        <v>969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991</v>
      </c>
      <c r="I22" s="16" t="s">
        <v>819</v>
      </c>
      <c r="J22" s="11" t="s">
        <v>970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1002</v>
      </c>
      <c r="I23" s="16"/>
      <c r="J23" s="16" t="s">
        <v>322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368</v>
      </c>
      <c r="J24" s="16" t="s">
        <v>322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323</v>
      </c>
      <c r="J25" s="16" t="s">
        <v>322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323</v>
      </c>
      <c r="J26" s="16" t="s">
        <v>322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323</v>
      </c>
      <c r="J27" s="16" t="s">
        <v>322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431</v>
      </c>
      <c r="J28" s="16" t="s">
        <v>322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323</v>
      </c>
      <c r="J29" s="16" t="s">
        <v>322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387</v>
      </c>
      <c r="J30" s="16" t="s">
        <v>322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323</v>
      </c>
      <c r="J31" s="16" t="s">
        <v>322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323</v>
      </c>
      <c r="J32" s="16" t="s">
        <v>322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339</v>
      </c>
      <c r="I33" s="16" t="s">
        <v>965</v>
      </c>
      <c r="J33" s="11" t="s">
        <v>858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973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431</v>
      </c>
      <c r="I35" s="16" t="s">
        <v>965</v>
      </c>
      <c r="J35" s="11" t="s">
        <v>858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329</v>
      </c>
      <c r="I36" s="16"/>
      <c r="J36" s="16" t="s">
        <v>322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329</v>
      </c>
      <c r="I37" s="16" t="s">
        <v>335</v>
      </c>
      <c r="J37" s="16" t="s">
        <v>334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329</v>
      </c>
      <c r="J38" s="16" t="s">
        <v>322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329</v>
      </c>
      <c r="J39" s="16" t="s">
        <v>322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F40">
        <v>10004</v>
      </c>
      <c r="G40">
        <v>10</v>
      </c>
      <c r="H40" s="16" t="s">
        <v>329</v>
      </c>
      <c r="J40" s="16" t="s">
        <v>322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329</v>
      </c>
      <c r="J41" s="16" t="s">
        <v>322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C33" sqref="C3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608</v>
      </c>
      <c r="E1" s="16" t="s">
        <v>609</v>
      </c>
      <c r="F1" s="16" t="s">
        <v>311</v>
      </c>
      <c r="G1" s="16" t="s">
        <v>318</v>
      </c>
      <c r="H1" s="16" t="s">
        <v>311</v>
      </c>
    </row>
    <row r="2" spans="2:21" s="42" customFormat="1">
      <c r="B2" s="63" t="s">
        <v>699</v>
      </c>
      <c r="C2" s="63" t="s">
        <v>587</v>
      </c>
      <c r="D2" s="54" t="s">
        <v>38</v>
      </c>
      <c r="E2" s="54" t="s">
        <v>307</v>
      </c>
      <c r="F2" s="54" t="s">
        <v>317</v>
      </c>
      <c r="G2" s="55" t="s">
        <v>4</v>
      </c>
      <c r="H2" s="55" t="s">
        <v>319</v>
      </c>
      <c r="I2" s="63" t="s">
        <v>589</v>
      </c>
      <c r="J2" s="63" t="s">
        <v>588</v>
      </c>
      <c r="K2" s="64" t="s">
        <v>610</v>
      </c>
      <c r="L2" s="63" t="s">
        <v>607</v>
      </c>
      <c r="M2" s="63" t="s">
        <v>616</v>
      </c>
      <c r="N2" s="63" t="s">
        <v>694</v>
      </c>
      <c r="O2" s="63" t="s">
        <v>695</v>
      </c>
      <c r="P2" s="63" t="s">
        <v>590</v>
      </c>
      <c r="Q2" s="63" t="s">
        <v>698</v>
      </c>
      <c r="R2" s="63" t="s">
        <v>701</v>
      </c>
      <c r="S2" s="69" t="s">
        <v>706</v>
      </c>
      <c r="T2" s="63" t="s">
        <v>697</v>
      </c>
      <c r="U2" s="63" t="s">
        <v>696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806</v>
      </c>
      <c r="F3" s="16">
        <v>1</v>
      </c>
      <c r="G3" s="11" t="s">
        <v>389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4" s="42">
        <v>7001</v>
      </c>
      <c r="E4" s="51" t="s">
        <v>188</v>
      </c>
      <c r="F4" s="51">
        <v>0.75</v>
      </c>
      <c r="G4" s="42" t="s">
        <v>324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75</v>
      </c>
      <c r="Q4" s="19">
        <f>SUMIF(ItemEffectTable23['#아이템 명칭],ItemEffectTable23[[#This Row],['#아이템 명칭]],ItemEffectTable23['#총 가치판단])</f>
        <v>75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75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2.5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331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394</v>
      </c>
      <c r="F8" s="42">
        <v>50</v>
      </c>
      <c r="G8" s="42" t="s">
        <v>324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990</v>
      </c>
      <c r="F9" s="16">
        <v>1</v>
      </c>
      <c r="G9" s="11" t="s">
        <v>389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324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611</v>
      </c>
      <c r="G11" s="42" t="s">
        <v>324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385</v>
      </c>
      <c r="F12" s="42">
        <v>3</v>
      </c>
      <c r="G12" s="42" t="s">
        <v>324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394</v>
      </c>
      <c r="F13" s="42">
        <v>50</v>
      </c>
      <c r="G13" s="42" t="s">
        <v>324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875</v>
      </c>
      <c r="G14" s="42" t="s">
        <v>324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389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1000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1001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999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369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369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324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394</v>
      </c>
      <c r="F22" s="42">
        <v>-100</v>
      </c>
      <c r="G22" s="42" t="s">
        <v>324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366</v>
      </c>
      <c r="F23" s="42">
        <v>0.45</v>
      </c>
      <c r="G23" s="42" t="s">
        <v>324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425</v>
      </c>
      <c r="F24">
        <v>0.8</v>
      </c>
      <c r="G24" s="11" t="s">
        <v>384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5.36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-67</v>
      </c>
      <c r="Q24" s="19">
        <f>SUMIF(ItemEffectTable23['#아이템 명칭],ItemEffectTable23[[#This Row],['#아이템 명칭]],ItemEffectTable23['#총 가치판단])</f>
        <v>-67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3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0.06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392</v>
      </c>
      <c r="F25">
        <v>2</v>
      </c>
      <c r="G25" s="11" t="s">
        <v>384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26" s="16">
        <v>9106</v>
      </c>
      <c r="E26" s="9" t="s">
        <v>188</v>
      </c>
      <c r="F26" s="51">
        <v>0.75</v>
      </c>
      <c r="G26" s="42" t="s">
        <v>324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13.4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335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67</v>
      </c>
      <c r="Q27" s="19">
        <f>SUMIF(ItemEffectTable23['#아이템 명칭],ItemEffectTable23[[#This Row],['#아이템 명칭]],ItemEffectTable23['#총 가치판단])</f>
        <v>50.800000000000011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1.0160000000000002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581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50.800000000000011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1.0160000000000002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50.800000000000011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1.0160000000000002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50.800000000000011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1.0160000000000002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50.800000000000011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1.0160000000000002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331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50.800000000000011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1.0160000000000002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3.35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-167.5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 t="e">
        <f>INDEX(ItemEffectTable[CoolTime],MATCH(ItemEffectTable23[[#This Row],[Index]],ItemEffectTable[ApplyBuffId],0))</f>
        <v>#N/A</v>
      </c>
      <c r="O33" s="19" t="e">
        <f>IF(ItemEffectTable23[[#This Row],['#발동율]]=-1,-1,(ItemEffectTable23[[#This Row],['#발동율]]+ItemEffectTable23[[#This Row],['#쿨타임]])/ItemEffectTable23[[#This Row],[Duration]])</f>
        <v>#N/A</v>
      </c>
      <c r="P33" s="19" t="e">
        <f>ItemEffectTable23[[#This Row],['#효력 가치 판단]]/IF(ItemEffectTable23[[#This Row],['#발동량]]=-1,1,ItemEffectTable23[[#This Row],['#발동량]])</f>
        <v>#N/A</v>
      </c>
      <c r="Q33" s="19" t="e">
        <f>SUMIF(ItemEffectTable23['#아이템 명칭],ItemEffectTable23[[#This Row],['#아이템 명칭]],ItemEffectTable23['#총 가치판단])</f>
        <v>#N/A</v>
      </c>
      <c r="R33" s="19">
        <f>IFERROR(INDEX(ItemEffectTable2324['#가치판단],MATCH(ItemEffectTable23[[#This Row],['#아이템 명칭]],ItemEffectTable2324['#명칭],0)),0)</f>
        <v>0</v>
      </c>
      <c r="S33" s="19" t="e">
        <f>ItemEffectTable23[[#This Row],['#아이템 효력 합산]]+ItemEffectTable23[[#This Row],['#특수 효력]]/COUNTIF(ItemEffectTable23['#특수 효력],ItemEffectTable23[[#This Row],['#특수 효력]])</f>
        <v>#N/A</v>
      </c>
      <c r="T33" s="19" t="e" cm="1">
        <f t="array" ref="T33">INDEX(표9[],0,MATCH(
INDEX(ItemTable[GradeType],MATCH(INDEX(ItemEffectTable[Index],MATCH(ItemEffectTable23[[#This Row],[Index]],ItemEffectTable[ApplyBuffId],0)),ItemTable[ItemEffectDataId],0)),표9[#Headers],0))</f>
        <v>#N/A</v>
      </c>
      <c r="U33" s="67" t="e">
        <f>ItemEffectTable23[[#This Row],['#종합 효력]]/ItemEffectTable23[[#This Row],['#기준 효력]]</f>
        <v>#N/A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806</v>
      </c>
      <c r="F34" s="16">
        <v>1</v>
      </c>
      <c r="G34" s="11" t="s">
        <v>389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 t="e">
        <f>INDEX(ItemEffectTable[CoolTime],MATCH(ItemEffectTable23[[#This Row],[Index]],ItemEffectTable[ApplyBuffId],0))</f>
        <v>#N/A</v>
      </c>
      <c r="O34" s="19" t="e">
        <f>IF(ItemEffectTable23[[#This Row],['#발동율]]=-1,-1,(ItemEffectTable23[[#This Row],['#발동율]]+ItemEffectTable23[[#This Row],['#쿨타임]])/ItemEffectTable23[[#This Row],[Duration]])</f>
        <v>#N/A</v>
      </c>
      <c r="P34" s="19" t="e">
        <f>ItemEffectTable23[[#This Row],['#효력 가치 판단]]/IF(ItemEffectTable23[[#This Row],['#발동량]]=-1,1,ItemEffectTable23[[#This Row],['#발동량]])</f>
        <v>#N/A</v>
      </c>
      <c r="Q34" s="19" t="e">
        <f>SUMIF(ItemEffectTable23['#아이템 명칭],ItemEffectTable23[[#This Row],['#아이템 명칭]],ItemEffectTable23['#총 가치판단])</f>
        <v>#N/A</v>
      </c>
      <c r="R34" s="19">
        <f>IFERROR(INDEX(ItemEffectTable2324['#가치판단],MATCH(ItemEffectTable23[[#This Row],['#아이템 명칭]],ItemEffectTable2324['#명칭],0)),0)</f>
        <v>0</v>
      </c>
      <c r="S34" s="19" t="e">
        <f>ItemEffectTable23[[#This Row],['#아이템 효력 합산]]+ItemEffectTable23[[#This Row],['#특수 효력]]/COUNTIF(ItemEffectTable23['#특수 효력],ItemEffectTable23[[#This Row],['#특수 효력]])</f>
        <v>#N/A</v>
      </c>
      <c r="T34" s="19" t="e" cm="1">
        <f t="array" ref="T34">INDEX(표9[],0,MATCH(
INDEX(ItemTable[GradeType],MATCH(INDEX(ItemEffectTable[Index],MATCH(ItemEffectTable23[[#This Row],[Index]],ItemEffectTable[ApplyBuffId],0)),ItemTable[ItemEffectDataId],0)),표9[#Headers],0))</f>
        <v>#N/A</v>
      </c>
      <c r="U34" s="67" t="e">
        <f>ItemEffectTable23[[#This Row],['#종합 효력]]/ItemEffectTable23[[#This Row],['#기준 효력]]</f>
        <v>#N/A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434</v>
      </c>
      <c r="F35">
        <v>2.5</v>
      </c>
      <c r="G35" s="42" t="s">
        <v>324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C22" sqref="C22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302</v>
      </c>
      <c r="F1" s="16"/>
      <c r="G1" s="16" t="s">
        <v>311</v>
      </c>
      <c r="H1" s="16"/>
      <c r="I1" s="16" t="s">
        <v>311</v>
      </c>
      <c r="J1" s="16"/>
      <c r="K1" s="16" t="s">
        <v>311</v>
      </c>
    </row>
    <row r="2" spans="2:14">
      <c r="B2" t="s">
        <v>38</v>
      </c>
      <c r="C2" s="36" t="s">
        <v>352</v>
      </c>
      <c r="D2" s="16" t="s">
        <v>332</v>
      </c>
      <c r="E2" s="16" t="s">
        <v>308</v>
      </c>
      <c r="F2" s="34" t="s">
        <v>344</v>
      </c>
      <c r="G2" s="30" t="s">
        <v>309</v>
      </c>
      <c r="H2" s="34" t="s">
        <v>345</v>
      </c>
      <c r="I2" s="30" t="s">
        <v>310</v>
      </c>
      <c r="J2" s="34" t="s">
        <v>346</v>
      </c>
      <c r="K2" s="30" t="s">
        <v>358</v>
      </c>
      <c r="L2" s="34" t="s">
        <v>357</v>
      </c>
      <c r="M2" s="63" t="s">
        <v>700</v>
      </c>
      <c r="N2" s="68" t="s">
        <v>707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419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419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436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419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783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340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968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783</v>
      </c>
      <c r="E10">
        <v>1</v>
      </c>
      <c r="F10" s="14" t="s">
        <v>861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328</v>
      </c>
      <c r="E11">
        <v>0.5</v>
      </c>
      <c r="F11" s="14"/>
      <c r="G11">
        <v>0.5</v>
      </c>
      <c r="H11" s="19"/>
      <c r="I11">
        <v>0.2</v>
      </c>
      <c r="J11" s="14" t="s">
        <v>1080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783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968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340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340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327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436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436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419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436</v>
      </c>
      <c r="E20" s="16">
        <v>-20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-40</v>
      </c>
      <c r="N20">
        <f>INDEX(표29[1당 가치],MATCH(ItemEffectTable2324[[#This Row],[EffectType]],표29[특수 이펙트 명칭],0))*IF(ISBLANK(ItemEffectTable2324[[#This Row],[Param1]]),1,ItemEffectTable2324[[#This Row],[Param1]])</f>
        <v>-20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312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333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328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427</v>
      </c>
      <c r="I23">
        <v>1</v>
      </c>
      <c r="J23" s="14" t="s">
        <v>1080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338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340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D43" sqref="D43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608</v>
      </c>
      <c r="C1" s="16" t="s">
        <v>1029</v>
      </c>
      <c r="D1" s="16" t="s">
        <v>311</v>
      </c>
      <c r="E1" s="16"/>
      <c r="F1" s="16"/>
    </row>
    <row r="2" spans="2:6">
      <c r="B2" s="16" t="s">
        <v>1027</v>
      </c>
      <c r="C2" s="16" t="s">
        <v>1028</v>
      </c>
      <c r="D2" s="16" t="s">
        <v>319</v>
      </c>
      <c r="E2" s="87" t="s">
        <v>1030</v>
      </c>
      <c r="F2" s="87" t="s">
        <v>1031</v>
      </c>
    </row>
    <row r="3" spans="2:6">
      <c r="B3">
        <v>1000</v>
      </c>
      <c r="C3" s="16" t="s">
        <v>1032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1033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1034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1035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1036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1037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1038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1039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1040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1041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1042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1043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1044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1045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1046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1047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1048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1049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1050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1051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1052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1053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1054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1055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1056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1057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1058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1059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1060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1061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1062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1063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1064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1065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1066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1068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1067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1068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7"/>
  <sheetViews>
    <sheetView topLeftCell="A64" zoomScale="85" zoomScaleNormal="85" zoomScaleSheetLayoutView="100" workbookViewId="0">
      <selection activeCell="D235" sqref="D235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525</v>
      </c>
      <c r="C2" s="9" t="s">
        <v>160</v>
      </c>
      <c r="D2" t="s">
        <v>159</v>
      </c>
      <c r="E2" s="80" t="s">
        <v>466</v>
      </c>
      <c r="F2" s="80" t="s">
        <v>467</v>
      </c>
      <c r="G2" s="80" t="s">
        <v>468</v>
      </c>
      <c r="H2" s="80" t="s">
        <v>469</v>
      </c>
      <c r="I2" s="36" t="s">
        <v>507</v>
      </c>
    </row>
    <row r="3" spans="2:10">
      <c r="B3" t="str">
        <f>LocaleTable[[#This Row],['#인덱스제너레이터]]</f>
        <v>UI_Title_Button_Start</v>
      </c>
      <c r="C3" s="51" t="s">
        <v>500</v>
      </c>
      <c r="D3" s="51" t="s">
        <v>493</v>
      </c>
      <c r="E3" s="81" t="s">
        <v>471</v>
      </c>
      <c r="F3" s="81" t="s">
        <v>505</v>
      </c>
      <c r="G3" s="81" t="s">
        <v>497</v>
      </c>
      <c r="H3" s="81" t="s">
        <v>494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501</v>
      </c>
      <c r="D4" s="51" t="s">
        <v>495</v>
      </c>
      <c r="E4" s="81" t="s">
        <v>471</v>
      </c>
      <c r="F4" s="81" t="s">
        <v>505</v>
      </c>
      <c r="G4" s="81" t="s">
        <v>497</v>
      </c>
      <c r="H4" s="81" t="s">
        <v>496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502</v>
      </c>
      <c r="D5" s="51" t="s">
        <v>498</v>
      </c>
      <c r="E5" s="81" t="s">
        <v>471</v>
      </c>
      <c r="F5" s="81" t="s">
        <v>505</v>
      </c>
      <c r="G5" s="82" t="s">
        <v>497</v>
      </c>
      <c r="H5" s="81" t="s">
        <v>499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557</v>
      </c>
      <c r="D6" s="51" t="s">
        <v>552</v>
      </c>
      <c r="E6" s="81" t="s">
        <v>471</v>
      </c>
      <c r="F6" s="81" t="s">
        <v>505</v>
      </c>
      <c r="G6" s="82" t="s">
        <v>497</v>
      </c>
      <c r="H6" s="81" t="s">
        <v>552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647</v>
      </c>
      <c r="D7" s="51" t="s">
        <v>498</v>
      </c>
      <c r="E7" s="81" t="s">
        <v>471</v>
      </c>
      <c r="F7" s="82" t="s">
        <v>496</v>
      </c>
      <c r="G7" s="82" t="s">
        <v>505</v>
      </c>
      <c r="H7" s="81" t="s">
        <v>499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720</v>
      </c>
      <c r="D8" s="51" t="s">
        <v>719</v>
      </c>
      <c r="E8" s="81" t="s">
        <v>471</v>
      </c>
      <c r="F8" s="82" t="s">
        <v>496</v>
      </c>
      <c r="G8" s="82" t="s">
        <v>505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630</v>
      </c>
      <c r="D9" s="51" t="s">
        <v>648</v>
      </c>
      <c r="E9" s="81" t="s">
        <v>471</v>
      </c>
      <c r="F9" s="82" t="s">
        <v>496</v>
      </c>
      <c r="G9" s="82" t="s">
        <v>505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631</v>
      </c>
      <c r="D10" s="51" t="s">
        <v>716</v>
      </c>
      <c r="E10" s="81" t="s">
        <v>471</v>
      </c>
      <c r="F10" s="82" t="s">
        <v>496</v>
      </c>
      <c r="G10" s="82" t="s">
        <v>505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632</v>
      </c>
      <c r="D11" s="51" t="s">
        <v>649</v>
      </c>
      <c r="E11" s="81" t="s">
        <v>471</v>
      </c>
      <c r="F11" s="82" t="s">
        <v>496</v>
      </c>
      <c r="G11" s="82" t="s">
        <v>505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633</v>
      </c>
      <c r="D12" s="51" t="s">
        <v>650</v>
      </c>
      <c r="E12" s="81" t="s">
        <v>471</v>
      </c>
      <c r="F12" s="82" t="s">
        <v>496</v>
      </c>
      <c r="G12" s="82" t="s">
        <v>505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634</v>
      </c>
      <c r="D13" s="51" t="s">
        <v>651</v>
      </c>
      <c r="E13" s="81" t="s">
        <v>471</v>
      </c>
      <c r="F13" s="82" t="s">
        <v>496</v>
      </c>
      <c r="G13" s="82" t="s">
        <v>505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635</v>
      </c>
      <c r="D14" s="51" t="s">
        <v>717</v>
      </c>
      <c r="E14" s="81" t="s">
        <v>471</v>
      </c>
      <c r="F14" s="82" t="s">
        <v>496</v>
      </c>
      <c r="G14" s="82" t="s">
        <v>505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506</v>
      </c>
      <c r="D15" s="51" t="s">
        <v>465</v>
      </c>
      <c r="E15" s="81" t="s">
        <v>471</v>
      </c>
      <c r="F15" s="82" t="s">
        <v>496</v>
      </c>
      <c r="G15" s="82" t="s">
        <v>505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738</v>
      </c>
      <c r="D16" s="51" t="s">
        <v>744</v>
      </c>
      <c r="E16" s="81" t="s">
        <v>751</v>
      </c>
      <c r="F16" s="82" t="s">
        <v>496</v>
      </c>
      <c r="G16" s="82" t="s">
        <v>718</v>
      </c>
      <c r="H16" s="81" t="s">
        <v>744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739</v>
      </c>
      <c r="D17" s="51" t="s">
        <v>745</v>
      </c>
      <c r="E17" s="81" t="s">
        <v>751</v>
      </c>
      <c r="F17" s="82" t="s">
        <v>496</v>
      </c>
      <c r="G17" s="82" t="s">
        <v>718</v>
      </c>
      <c r="H17" s="81" t="s">
        <v>745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740</v>
      </c>
      <c r="D18" s="51" t="s">
        <v>746</v>
      </c>
      <c r="E18" s="81" t="s">
        <v>751</v>
      </c>
      <c r="F18" s="82" t="s">
        <v>496</v>
      </c>
      <c r="G18" s="82" t="s">
        <v>718</v>
      </c>
      <c r="H18" s="81" t="s">
        <v>746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741</v>
      </c>
      <c r="D19" s="51" t="s">
        <v>651</v>
      </c>
      <c r="E19" s="81" t="s">
        <v>751</v>
      </c>
      <c r="F19" s="82" t="s">
        <v>496</v>
      </c>
      <c r="G19" s="82" t="s">
        <v>718</v>
      </c>
      <c r="H19" s="81" t="s">
        <v>752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557</v>
      </c>
      <c r="D20" s="51" t="s">
        <v>552</v>
      </c>
      <c r="E20" s="81" t="s">
        <v>751</v>
      </c>
      <c r="F20" s="82" t="s">
        <v>496</v>
      </c>
      <c r="G20" s="82" t="s">
        <v>718</v>
      </c>
      <c r="H20" s="81" t="s">
        <v>552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742</v>
      </c>
      <c r="D21" s="51" t="s">
        <v>747</v>
      </c>
      <c r="E21" s="81" t="s">
        <v>751</v>
      </c>
      <c r="F21" s="82" t="s">
        <v>496</v>
      </c>
      <c r="G21" s="82" t="s">
        <v>718</v>
      </c>
      <c r="H21" s="81" t="s">
        <v>753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743</v>
      </c>
      <c r="D22" s="51" t="s">
        <v>748</v>
      </c>
      <c r="E22" s="81" t="s">
        <v>751</v>
      </c>
      <c r="F22" s="82" t="s">
        <v>496</v>
      </c>
      <c r="G22" s="82" t="s">
        <v>718</v>
      </c>
      <c r="H22" s="81" t="s">
        <v>341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471</v>
      </c>
      <c r="F23" s="82" t="s">
        <v>496</v>
      </c>
      <c r="G23" s="82" t="s">
        <v>636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637</v>
      </c>
      <c r="D24" s="51" t="s">
        <v>714</v>
      </c>
      <c r="E24" s="81" t="s">
        <v>471</v>
      </c>
      <c r="F24" s="82" t="s">
        <v>496</v>
      </c>
      <c r="G24" s="82" t="s">
        <v>636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638</v>
      </c>
      <c r="D25" s="51" t="s">
        <v>715</v>
      </c>
      <c r="E25" s="81" t="s">
        <v>471</v>
      </c>
      <c r="F25" s="82" t="s">
        <v>496</v>
      </c>
      <c r="G25" s="82" t="s">
        <v>636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749</v>
      </c>
      <c r="D26" s="51" t="s">
        <v>750</v>
      </c>
      <c r="E26" s="81" t="s">
        <v>471</v>
      </c>
      <c r="F26" s="82" t="s">
        <v>496</v>
      </c>
      <c r="G26" s="82" t="s">
        <v>636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639</v>
      </c>
      <c r="D27" s="51" t="s">
        <v>652</v>
      </c>
      <c r="E27" s="81" t="s">
        <v>471</v>
      </c>
      <c r="F27" s="82" t="s">
        <v>496</v>
      </c>
      <c r="G27" s="82" t="s">
        <v>636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640</v>
      </c>
      <c r="D28" s="51" t="s">
        <v>653</v>
      </c>
      <c r="E28" s="81" t="s">
        <v>471</v>
      </c>
      <c r="F28" s="82" t="s">
        <v>496</v>
      </c>
      <c r="G28" s="82" t="s">
        <v>636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641</v>
      </c>
      <c r="D29" s="51" t="s">
        <v>654</v>
      </c>
      <c r="E29" s="81" t="s">
        <v>471</v>
      </c>
      <c r="F29" s="82" t="s">
        <v>496</v>
      </c>
      <c r="G29" s="82" t="s">
        <v>636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642</v>
      </c>
      <c r="D30" s="51" t="s">
        <v>655</v>
      </c>
      <c r="E30" s="81" t="s">
        <v>471</v>
      </c>
      <c r="F30" s="82" t="s">
        <v>496</v>
      </c>
      <c r="G30" s="82" t="s">
        <v>636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471</v>
      </c>
      <c r="F31" s="82" t="s">
        <v>496</v>
      </c>
      <c r="G31" s="82" t="s">
        <v>643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>
      <c r="B32" t="str">
        <f>LocaleTable[[#This Row],['#인덱스제너레이터]]</f>
        <v>UI_Tutorial_SubText_2</v>
      </c>
      <c r="C32" s="51" t="s">
        <v>661</v>
      </c>
      <c r="D32" s="51" t="s">
        <v>662</v>
      </c>
      <c r="E32" s="81" t="s">
        <v>471</v>
      </c>
      <c r="F32" s="82" t="s">
        <v>496</v>
      </c>
      <c r="G32" s="82" t="s">
        <v>643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644</v>
      </c>
      <c r="D33" s="51" t="s">
        <v>656</v>
      </c>
      <c r="E33" s="81" t="s">
        <v>471</v>
      </c>
      <c r="F33" s="82" t="s">
        <v>496</v>
      </c>
      <c r="G33" s="82" t="s">
        <v>643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1" t="s">
        <v>665</v>
      </c>
      <c r="D34" s="51" t="s">
        <v>664</v>
      </c>
      <c r="E34" s="81" t="s">
        <v>471</v>
      </c>
      <c r="F34" s="82" t="s">
        <v>496</v>
      </c>
      <c r="G34" s="82" t="s">
        <v>643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1" t="s">
        <v>666</v>
      </c>
      <c r="D35" s="51" t="s">
        <v>663</v>
      </c>
      <c r="E35" s="81" t="s">
        <v>471</v>
      </c>
      <c r="F35" s="82" t="s">
        <v>496</v>
      </c>
      <c r="G35" s="82" t="s">
        <v>643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645</v>
      </c>
      <c r="D36" s="51" t="s">
        <v>657</v>
      </c>
      <c r="E36" s="81" t="s">
        <v>471</v>
      </c>
      <c r="F36" s="82" t="s">
        <v>496</v>
      </c>
      <c r="G36" s="82" t="s">
        <v>643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659</v>
      </c>
      <c r="D37" s="51" t="s">
        <v>660</v>
      </c>
      <c r="E37" s="81" t="s">
        <v>471</v>
      </c>
      <c r="F37" s="82" t="s">
        <v>496</v>
      </c>
      <c r="G37" s="82" t="s">
        <v>643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646</v>
      </c>
      <c r="D38" s="51" t="s">
        <v>658</v>
      </c>
      <c r="E38" s="81" t="s">
        <v>471</v>
      </c>
      <c r="F38" s="82" t="s">
        <v>496</v>
      </c>
      <c r="G38" s="82" t="s">
        <v>643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557</v>
      </c>
      <c r="D39" s="51" t="s">
        <v>552</v>
      </c>
      <c r="E39" s="81" t="s">
        <v>471</v>
      </c>
      <c r="F39" s="81" t="s">
        <v>552</v>
      </c>
      <c r="G39" s="82" t="s">
        <v>505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559</v>
      </c>
      <c r="D40" s="51" t="s">
        <v>558</v>
      </c>
      <c r="E40" s="81" t="s">
        <v>471</v>
      </c>
      <c r="F40" s="81" t="s">
        <v>552</v>
      </c>
      <c r="G40" s="82" t="s">
        <v>553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560</v>
      </c>
      <c r="D41" s="51" t="s">
        <v>563</v>
      </c>
      <c r="E41" s="81" t="s">
        <v>471</v>
      </c>
      <c r="F41" s="81" t="s">
        <v>552</v>
      </c>
      <c r="G41" s="82" t="s">
        <v>554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561</v>
      </c>
      <c r="D42" s="51" t="s">
        <v>562</v>
      </c>
      <c r="E42" s="81" t="s">
        <v>471</v>
      </c>
      <c r="F42" s="81" t="s">
        <v>552</v>
      </c>
      <c r="G42" s="82" t="s">
        <v>555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564</v>
      </c>
      <c r="D43" s="51" t="s">
        <v>556</v>
      </c>
      <c r="E43" s="81" t="s">
        <v>471</v>
      </c>
      <c r="F43" s="81" t="s">
        <v>552</v>
      </c>
      <c r="G43" s="82" t="s">
        <v>556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566</v>
      </c>
      <c r="D44" s="51" t="s">
        <v>567</v>
      </c>
      <c r="E44" s="81" t="s">
        <v>471</v>
      </c>
      <c r="F44" s="81" t="s">
        <v>552</v>
      </c>
      <c r="G44" s="82" t="s">
        <v>565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568</v>
      </c>
      <c r="D45" s="51" t="s">
        <v>496</v>
      </c>
      <c r="E45" s="81" t="s">
        <v>471</v>
      </c>
      <c r="F45" s="81" t="s">
        <v>552</v>
      </c>
      <c r="G45" s="82" t="s">
        <v>496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UI_Setting_Back</v>
      </c>
      <c r="C46" s="51" t="s">
        <v>1152</v>
      </c>
      <c r="D46" s="51" t="s">
        <v>1153</v>
      </c>
      <c r="E46" s="81" t="s">
        <v>471</v>
      </c>
      <c r="F46" s="81" t="s">
        <v>552</v>
      </c>
      <c r="G46" s="82" t="s">
        <v>1153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7" spans="2:9">
      <c r="B47" t="str">
        <f>LocaleTable[[#This Row],['#인덱스제너레이터]]</f>
        <v>UI_Tap_Subtitle_Items</v>
      </c>
      <c r="C47" s="51" t="s">
        <v>506</v>
      </c>
      <c r="D47" s="51" t="s">
        <v>579</v>
      </c>
      <c r="E47" s="81" t="s">
        <v>471</v>
      </c>
      <c r="F47" s="81" t="s">
        <v>503</v>
      </c>
      <c r="G47" s="81" t="s">
        <v>504</v>
      </c>
      <c r="H47" s="81" t="s">
        <v>579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8" spans="2:9">
      <c r="B48" t="str">
        <f>LocaleTable[[#This Row],['#인덱스제너레이터]]</f>
        <v>UI_Tap_Subtitle_Map</v>
      </c>
      <c r="C48" s="51" t="s">
        <v>486</v>
      </c>
      <c r="D48" s="51" t="s">
        <v>472</v>
      </c>
      <c r="E48" s="81" t="s">
        <v>471</v>
      </c>
      <c r="F48" s="81" t="s">
        <v>503</v>
      </c>
      <c r="G48" s="81" t="s">
        <v>504</v>
      </c>
      <c r="H48" s="81" t="s">
        <v>473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9" spans="2:9">
      <c r="B49" t="str">
        <f>LocaleTable[[#This Row],['#인덱스제너레이터]]</f>
        <v>UI_Tap_MapInfo</v>
      </c>
      <c r="C49" s="51" t="s">
        <v>756</v>
      </c>
      <c r="D49" s="51" t="s">
        <v>768</v>
      </c>
      <c r="E49" s="81" t="s">
        <v>471</v>
      </c>
      <c r="F49" s="81" t="s">
        <v>503</v>
      </c>
      <c r="G49" s="81" t="s">
        <v>757</v>
      </c>
      <c r="H49" s="81"/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0" spans="2:9">
      <c r="B50" t="str">
        <f>LocaleTable[[#This Row],['#인덱스제너레이터]]</f>
        <v>UI_Tap_MapInfo_Player</v>
      </c>
      <c r="C50" s="51" t="s">
        <v>761</v>
      </c>
      <c r="D50" s="51" t="s">
        <v>767</v>
      </c>
      <c r="E50" s="81" t="s">
        <v>471</v>
      </c>
      <c r="F50" s="81" t="s">
        <v>503</v>
      </c>
      <c r="G50" s="81" t="s">
        <v>757</v>
      </c>
      <c r="H50" s="81" t="s">
        <v>335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1" spans="2:9">
      <c r="B51" t="str">
        <f>LocaleTable[[#This Row],['#인덱스제너레이터]]</f>
        <v>UI_Tap_MapInfo_Shop</v>
      </c>
      <c r="C51" s="51" t="s">
        <v>762</v>
      </c>
      <c r="D51" s="51" t="s">
        <v>758</v>
      </c>
      <c r="E51" s="81" t="s">
        <v>471</v>
      </c>
      <c r="F51" s="81" t="s">
        <v>503</v>
      </c>
      <c r="G51" s="81" t="s">
        <v>757</v>
      </c>
      <c r="H51" s="81" t="s">
        <v>758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2" spans="2:9">
      <c r="B52" t="str">
        <f>LocaleTable[[#This Row],['#인덱스제너레이터]]</f>
        <v>UI_Tap_MapInfo_Reward</v>
      </c>
      <c r="C52" s="51" t="s">
        <v>763</v>
      </c>
      <c r="D52" s="51" t="s">
        <v>759</v>
      </c>
      <c r="E52" s="81" t="s">
        <v>471</v>
      </c>
      <c r="F52" s="81" t="s">
        <v>503</v>
      </c>
      <c r="G52" s="81" t="s">
        <v>757</v>
      </c>
      <c r="H52" s="81" t="s">
        <v>759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3" spans="2:9">
      <c r="B53" t="str">
        <f>LocaleTable[[#This Row],['#인덱스제너레이터]]</f>
        <v>UI_Tap_MapInfo_Next</v>
      </c>
      <c r="C53" s="51" t="s">
        <v>764</v>
      </c>
      <c r="D53" s="51" t="s">
        <v>766</v>
      </c>
      <c r="E53" s="81" t="s">
        <v>471</v>
      </c>
      <c r="F53" s="81" t="s">
        <v>503</v>
      </c>
      <c r="G53" s="81" t="s">
        <v>757</v>
      </c>
      <c r="H53" s="81" t="s">
        <v>760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4" spans="2:9">
      <c r="B54" t="str">
        <f>LocaleTable[[#This Row],['#인덱스제너레이터]]</f>
        <v>UI_Tap_MapInfo_Boss</v>
      </c>
      <c r="C54" s="51" t="s">
        <v>765</v>
      </c>
      <c r="D54" s="51" t="s">
        <v>569</v>
      </c>
      <c r="E54" s="81" t="s">
        <v>471</v>
      </c>
      <c r="F54" s="81" t="s">
        <v>503</v>
      </c>
      <c r="G54" s="81" t="s">
        <v>757</v>
      </c>
      <c r="H54" s="81" t="s">
        <v>569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5" spans="2:9">
      <c r="B55" t="str">
        <f>LocaleTable[[#This Row],['#인덱스제너레이터]]</f>
        <v>UI_Tap_Stat_AtkDmg</v>
      </c>
      <c r="C55" s="51" t="s">
        <v>487</v>
      </c>
      <c r="D55" s="51" t="s">
        <v>475</v>
      </c>
      <c r="E55" s="83" t="s">
        <v>471</v>
      </c>
      <c r="F55" s="81" t="s">
        <v>503</v>
      </c>
      <c r="G55" s="83" t="s">
        <v>474</v>
      </c>
      <c r="H55" s="81" t="s">
        <v>476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6" spans="2:9">
      <c r="B56" t="str">
        <f>LocaleTable[[#This Row],['#인덱스제너레이터]]</f>
        <v>UI_Tap_Stat_AtkSpd</v>
      </c>
      <c r="C56" s="51" t="s">
        <v>488</v>
      </c>
      <c r="D56" s="51" t="s">
        <v>482</v>
      </c>
      <c r="E56" s="83" t="s">
        <v>471</v>
      </c>
      <c r="F56" s="81" t="s">
        <v>503</v>
      </c>
      <c r="G56" s="83" t="s">
        <v>474</v>
      </c>
      <c r="H56" s="81" t="s">
        <v>483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7" spans="2:9">
      <c r="B57" t="str">
        <f>LocaleTable[[#This Row],['#인덱스제너레이터]]</f>
        <v>UI_Tap_Stat_AtkLength</v>
      </c>
      <c r="C57" s="51" t="s">
        <v>489</v>
      </c>
      <c r="D57" s="51" t="s">
        <v>479</v>
      </c>
      <c r="E57" s="81" t="s">
        <v>471</v>
      </c>
      <c r="F57" s="81" t="s">
        <v>503</v>
      </c>
      <c r="G57" s="81" t="s">
        <v>474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8" spans="2:9">
      <c r="B58" t="str">
        <f>LocaleTable[[#This Row],['#인덱스제너레이터]]</f>
        <v>UI_Tap_Stat_ChargeSpd</v>
      </c>
      <c r="C58" s="51" t="s">
        <v>491</v>
      </c>
      <c r="D58" s="51" t="s">
        <v>477</v>
      </c>
      <c r="E58" s="81" t="s">
        <v>471</v>
      </c>
      <c r="F58" s="81" t="s">
        <v>503</v>
      </c>
      <c r="G58" s="81" t="s">
        <v>474</v>
      </c>
      <c r="H58" s="81" t="s">
        <v>478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9" spans="2:9">
      <c r="B59" t="str">
        <f>LocaleTable[[#This Row],['#인덱스제너레이터]]</f>
        <v>UI_Tap_Stat_MoveSpd</v>
      </c>
      <c r="C59" s="51" t="s">
        <v>490</v>
      </c>
      <c r="D59" s="51" t="s">
        <v>484</v>
      </c>
      <c r="E59" s="81" t="s">
        <v>471</v>
      </c>
      <c r="F59" s="81" t="s">
        <v>503</v>
      </c>
      <c r="G59" s="81" t="s">
        <v>474</v>
      </c>
      <c r="H59" s="81" t="s">
        <v>485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0" spans="2:9">
      <c r="B60" t="str">
        <f>LocaleTable[[#This Row],['#인덱스제너레이터]]</f>
        <v>UI_Tap_Stat_GoldGain</v>
      </c>
      <c r="C60" s="51" t="s">
        <v>492</v>
      </c>
      <c r="D60" s="51" t="s">
        <v>156</v>
      </c>
      <c r="E60" s="81" t="s">
        <v>471</v>
      </c>
      <c r="F60" s="81" t="s">
        <v>503</v>
      </c>
      <c r="G60" s="81" t="s">
        <v>474</v>
      </c>
      <c r="H60" s="81" t="s">
        <v>481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1" spans="2:9">
      <c r="B61" t="str">
        <f>LocaleTable[[#This Row],['#인덱스제너레이터]]</f>
        <v>UI_GameOver_Title</v>
      </c>
      <c r="C61" s="51" t="s">
        <v>578</v>
      </c>
      <c r="D61" s="51" t="s">
        <v>505</v>
      </c>
      <c r="E61" s="81" t="s">
        <v>471</v>
      </c>
      <c r="F61" s="81" t="s">
        <v>575</v>
      </c>
      <c r="G61" s="81" t="s">
        <v>505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2" spans="2:9">
      <c r="B62" t="str">
        <f>LocaleTable[[#This Row],['#인덱스제너레이터]]</f>
        <v>UI_GameOver_Restart</v>
      </c>
      <c r="C62" s="51" t="s">
        <v>577</v>
      </c>
      <c r="D62" s="51" t="s">
        <v>576</v>
      </c>
      <c r="E62" s="81" t="s">
        <v>471</v>
      </c>
      <c r="F62" s="81" t="s">
        <v>575</v>
      </c>
      <c r="G62" s="81" t="s">
        <v>576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3" spans="2:9">
      <c r="B63" t="str">
        <f>LocaleTable[[#This Row],['#인덱스제너레이터]]</f>
        <v>UI_ItemHolder_Select</v>
      </c>
      <c r="C63" s="51" t="s">
        <v>780</v>
      </c>
      <c r="D63" s="51" t="s">
        <v>778</v>
      </c>
      <c r="E63" s="81" t="s">
        <v>471</v>
      </c>
      <c r="F63" s="81" t="s">
        <v>776</v>
      </c>
      <c r="G63" s="81" t="s">
        <v>778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4" spans="2:9">
      <c r="B64" t="str">
        <f>LocaleTable[[#This Row],['#인덱스제너레이터]]</f>
        <v>UI_ItemHolder_Buy</v>
      </c>
      <c r="C64" s="51" t="s">
        <v>779</v>
      </c>
      <c r="D64" s="51" t="s">
        <v>777</v>
      </c>
      <c r="E64" s="81" t="s">
        <v>471</v>
      </c>
      <c r="F64" s="81" t="s">
        <v>776</v>
      </c>
      <c r="G64" s="81" t="s">
        <v>777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5" spans="2:9">
      <c r="B65" t="str">
        <f>LocaleTable[[#This Row],['#인덱스제너레이터]]</f>
        <v>UI_Loading_Tip_1</v>
      </c>
      <c r="C65" s="51" t="s">
        <v>769</v>
      </c>
      <c r="D65" s="51" t="s">
        <v>770</v>
      </c>
      <c r="E65" s="81" t="s">
        <v>471</v>
      </c>
      <c r="F65" s="81" t="s">
        <v>620</v>
      </c>
      <c r="G65" s="81" t="s">
        <v>621</v>
      </c>
      <c r="H65" s="81">
        <v>1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6" spans="2:9">
      <c r="B66" t="str">
        <f>LocaleTable[[#This Row],['#인덱스제너레이터]]</f>
        <v>UI_Loading_Tip_2</v>
      </c>
      <c r="C66" s="51" t="s">
        <v>622</v>
      </c>
      <c r="D66" s="51" t="s">
        <v>731</v>
      </c>
      <c r="E66" s="81" t="s">
        <v>471</v>
      </c>
      <c r="F66" s="81" t="s">
        <v>620</v>
      </c>
      <c r="G66" s="81" t="s">
        <v>621</v>
      </c>
      <c r="H66" s="81">
        <v>2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7" spans="2:9">
      <c r="B67" t="str">
        <f>LocaleTable[[#This Row],['#인덱스제너레이터]]</f>
        <v>UI_Loading_Tip_3</v>
      </c>
      <c r="C67" s="51" t="s">
        <v>623</v>
      </c>
      <c r="D67" s="51" t="s">
        <v>730</v>
      </c>
      <c r="E67" s="81" t="s">
        <v>471</v>
      </c>
      <c r="F67" s="81" t="s">
        <v>620</v>
      </c>
      <c r="G67" s="81" t="s">
        <v>621</v>
      </c>
      <c r="H67" s="81">
        <v>3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8" spans="2:9">
      <c r="B68" t="str">
        <f>LocaleTable[[#This Row],['#인덱스제너레이터]]</f>
        <v>UI_Loading_Tip_4</v>
      </c>
      <c r="C68" s="51" t="s">
        <v>624</v>
      </c>
      <c r="D68" s="51" t="s">
        <v>732</v>
      </c>
      <c r="E68" s="81" t="s">
        <v>471</v>
      </c>
      <c r="F68" s="81" t="s">
        <v>620</v>
      </c>
      <c r="G68" s="81" t="s">
        <v>621</v>
      </c>
      <c r="H68" s="81">
        <v>4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9" spans="2:9">
      <c r="B69" t="str">
        <f>LocaleTable[[#This Row],['#인덱스제너레이터]]</f>
        <v>UI_Loading_Tip_5</v>
      </c>
      <c r="C69" s="51" t="s">
        <v>733</v>
      </c>
      <c r="D69" s="51" t="s">
        <v>734</v>
      </c>
      <c r="E69" s="81" t="s">
        <v>471</v>
      </c>
      <c r="F69" s="81" t="s">
        <v>620</v>
      </c>
      <c r="G69" s="81" t="s">
        <v>621</v>
      </c>
      <c r="H69" s="81">
        <v>5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0" spans="2:9">
      <c r="B70" t="str">
        <f>LocaleTable[[#This Row],['#인덱스제너레이터]]</f>
        <v>UI_Loading_Tip_6</v>
      </c>
      <c r="C70" s="51" t="s">
        <v>625</v>
      </c>
      <c r="D70" s="51" t="s">
        <v>628</v>
      </c>
      <c r="E70" s="81" t="s">
        <v>471</v>
      </c>
      <c r="F70" s="81" t="s">
        <v>620</v>
      </c>
      <c r="G70" s="81" t="s">
        <v>621</v>
      </c>
      <c r="H70" s="81">
        <v>6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1" spans="2:9">
      <c r="B71" t="str">
        <f>LocaleTable[[#This Row],['#인덱스제너레이터]]</f>
        <v>UI_Loading_Tip_7</v>
      </c>
      <c r="C71" s="51" t="s">
        <v>626</v>
      </c>
      <c r="D71" s="51" t="s">
        <v>735</v>
      </c>
      <c r="E71" s="81" t="s">
        <v>471</v>
      </c>
      <c r="F71" s="81" t="s">
        <v>620</v>
      </c>
      <c r="G71" s="81" t="s">
        <v>621</v>
      </c>
      <c r="H71" s="81">
        <v>7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2" spans="2:9">
      <c r="B72" t="str">
        <f>LocaleTable[[#This Row],['#인덱스제너레이터]]</f>
        <v>UI_Loading_Tip_8</v>
      </c>
      <c r="C72" s="51" t="s">
        <v>627</v>
      </c>
      <c r="D72" s="51" t="s">
        <v>629</v>
      </c>
      <c r="E72" s="81" t="s">
        <v>471</v>
      </c>
      <c r="F72" s="81" t="s">
        <v>620</v>
      </c>
      <c r="G72" s="81" t="s">
        <v>621</v>
      </c>
      <c r="H72" s="81">
        <v>8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3" spans="2:9">
      <c r="B73" t="str">
        <f>LocaleTable[[#This Row],['#인덱스제너레이터]]</f>
        <v>UI_Loading_Tip_9</v>
      </c>
      <c r="C73" s="51" t="s">
        <v>737</v>
      </c>
      <c r="D73" s="51" t="s">
        <v>736</v>
      </c>
      <c r="E73" s="81" t="s">
        <v>471</v>
      </c>
      <c r="F73" s="81" t="s">
        <v>620</v>
      </c>
      <c r="G73" s="81" t="s">
        <v>621</v>
      </c>
      <c r="H73" s="81">
        <v>9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4" spans="2:9">
      <c r="B74" t="str">
        <f>LocaleTable[[#This Row],['#인덱스제너레이터]]</f>
        <v>UI_Loading_Tip_10</v>
      </c>
      <c r="C74" s="51" t="s">
        <v>773</v>
      </c>
      <c r="D74" s="51" t="s">
        <v>774</v>
      </c>
      <c r="E74" s="81" t="s">
        <v>471</v>
      </c>
      <c r="F74" s="81" t="s">
        <v>620</v>
      </c>
      <c r="G74" s="81" t="s">
        <v>621</v>
      </c>
      <c r="H74" s="81">
        <v>10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5" spans="2:9">
      <c r="B75" t="str">
        <f>LocaleTable[[#This Row],['#인덱스제너레이터]]</f>
        <v>UI_Loading_Tip_11</v>
      </c>
      <c r="C75" s="51" t="s">
        <v>771</v>
      </c>
      <c r="D75" s="51" t="s">
        <v>772</v>
      </c>
      <c r="E75" s="81" t="s">
        <v>471</v>
      </c>
      <c r="F75" s="81" t="s">
        <v>620</v>
      </c>
      <c r="G75" s="81" t="s">
        <v>621</v>
      </c>
      <c r="H75" s="81">
        <v>11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6" spans="2:9">
      <c r="B76" t="str">
        <f>LocaleTable[[#This Row],['#인덱스제너레이터]]</f>
        <v>UI_Loading_Tip_12</v>
      </c>
      <c r="C76" s="51" t="s">
        <v>754</v>
      </c>
      <c r="D76" s="51" t="s">
        <v>755</v>
      </c>
      <c r="E76" s="81" t="s">
        <v>471</v>
      </c>
      <c r="F76" s="81" t="s">
        <v>620</v>
      </c>
      <c r="G76" s="81" t="s">
        <v>621</v>
      </c>
      <c r="H76" s="81">
        <v>12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7" spans="2:9">
      <c r="B77" t="str">
        <f>LocaleTable[[#This Row],['#인덱스제너레이터]]</f>
        <v>UI_Boss_Dulahan_Title</v>
      </c>
      <c r="C77" s="51" t="s">
        <v>571</v>
      </c>
      <c r="D77" s="51" t="s">
        <v>574</v>
      </c>
      <c r="E77" s="81" t="s">
        <v>471</v>
      </c>
      <c r="F77" s="81" t="s">
        <v>569</v>
      </c>
      <c r="G77" s="81" t="s">
        <v>570</v>
      </c>
      <c r="H77" s="81" t="s">
        <v>505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8" spans="2:9">
      <c r="B78" t="str">
        <f>LocaleTable[[#This Row],['#인덱스제너레이터]]</f>
        <v>UI_Boss_Dulahan_Name</v>
      </c>
      <c r="C78" s="51" t="s">
        <v>572</v>
      </c>
      <c r="D78" s="51" t="s">
        <v>573</v>
      </c>
      <c r="E78" s="81" t="s">
        <v>471</v>
      </c>
      <c r="F78" s="81" t="s">
        <v>569</v>
      </c>
      <c r="G78" s="81" t="s">
        <v>570</v>
      </c>
      <c r="H78" s="81" t="s">
        <v>315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9" spans="2:9">
      <c r="B79" t="str">
        <f>LocaleTable[[#This Row],['#인덱스제너레이터]]</f>
        <v>UI_Boss_Jello</v>
      </c>
      <c r="C79" s="51" t="s">
        <v>1136</v>
      </c>
      <c r="D79" s="51" t="s">
        <v>1134</v>
      </c>
      <c r="E79" s="81" t="s">
        <v>471</v>
      </c>
      <c r="F79" s="81" t="s">
        <v>569</v>
      </c>
      <c r="G79" s="81" t="s">
        <v>1134</v>
      </c>
      <c r="H79" s="81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0" spans="2:9">
      <c r="B80" t="str">
        <f>LocaleTable[[#This Row],['#인덱스제너레이터]]</f>
        <v>UI_Boss_Saddy</v>
      </c>
      <c r="C80" s="51" t="s">
        <v>1137</v>
      </c>
      <c r="D80" s="51" t="s">
        <v>1135</v>
      </c>
      <c r="E80" s="81" t="s">
        <v>471</v>
      </c>
      <c r="F80" s="81" t="s">
        <v>569</v>
      </c>
      <c r="G80" s="81" t="s">
        <v>1135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1" spans="2:9">
      <c r="B81" t="str">
        <f>LocaleTable[[#This Row],['#인덱스제너레이터]]</f>
        <v>UI_Credit_Design</v>
      </c>
      <c r="C81" s="51" t="s">
        <v>1115</v>
      </c>
      <c r="D81" s="51" t="s">
        <v>1151</v>
      </c>
      <c r="E81" s="81" t="s">
        <v>471</v>
      </c>
      <c r="F81" s="81" t="s">
        <v>1095</v>
      </c>
      <c r="G81" s="81" t="s">
        <v>1096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2" spans="2:9">
      <c r="B82" t="str">
        <f>LocaleTable[[#This Row],['#인덱스제너레이터]]</f>
        <v>UI_Credit_Design_TeamLeader</v>
      </c>
      <c r="C82" s="51" t="s">
        <v>1116</v>
      </c>
      <c r="D82" s="51" t="s">
        <v>1149</v>
      </c>
      <c r="E82" s="81" t="s">
        <v>471</v>
      </c>
      <c r="F82" s="81" t="s">
        <v>1095</v>
      </c>
      <c r="G82" s="81" t="s">
        <v>1096</v>
      </c>
      <c r="H82" s="81" t="s">
        <v>1097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3" spans="2:9">
      <c r="B83" t="str">
        <f>LocaleTable[[#This Row],['#인덱스제너레이터]]</f>
        <v>UI_Credit_Design_System</v>
      </c>
      <c r="C83" s="51" t="s">
        <v>1117</v>
      </c>
      <c r="D83" s="51" t="s">
        <v>1150</v>
      </c>
      <c r="E83" s="81" t="s">
        <v>471</v>
      </c>
      <c r="F83" s="81" t="s">
        <v>1095</v>
      </c>
      <c r="G83" s="81" t="s">
        <v>1096</v>
      </c>
      <c r="H83" s="81" t="s">
        <v>1098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4" spans="2:9">
      <c r="B84" t="str">
        <f>LocaleTable[[#This Row],['#인덱스제너레이터]]</f>
        <v>UI_Credit_Design_Content</v>
      </c>
      <c r="C84" s="51" t="s">
        <v>1118</v>
      </c>
      <c r="D84" s="51" t="s">
        <v>1148</v>
      </c>
      <c r="E84" s="81" t="s">
        <v>471</v>
      </c>
      <c r="F84" s="81" t="s">
        <v>1095</v>
      </c>
      <c r="G84" s="81" t="s">
        <v>1096</v>
      </c>
      <c r="H84" s="81" t="s">
        <v>1099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5" spans="2:9">
      <c r="B85" t="str">
        <f>LocaleTable[[#This Row],['#인덱스제너레이터]]</f>
        <v>UI_Credit_Programming</v>
      </c>
      <c r="C85" s="51" t="s">
        <v>1119</v>
      </c>
      <c r="D85" s="51" t="s">
        <v>1102</v>
      </c>
      <c r="E85" s="81" t="s">
        <v>471</v>
      </c>
      <c r="F85" s="81" t="s">
        <v>1095</v>
      </c>
      <c r="G85" s="81" t="s">
        <v>1102</v>
      </c>
      <c r="H85" s="81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6" spans="2:9">
      <c r="B86" t="str">
        <f>LocaleTable[[#This Row],['#인덱스제너레이터]]</f>
        <v>UI_Credit_Programming_TD</v>
      </c>
      <c r="C86" s="51" t="s">
        <v>1103</v>
      </c>
      <c r="D86" s="51" t="s">
        <v>1103</v>
      </c>
      <c r="E86" s="81" t="s">
        <v>471</v>
      </c>
      <c r="F86" s="81" t="s">
        <v>1095</v>
      </c>
      <c r="G86" s="81" t="s">
        <v>1102</v>
      </c>
      <c r="H86" s="81" t="s">
        <v>1103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7" spans="2:9">
      <c r="B87" t="str">
        <f>LocaleTable[[#This Row],['#인덱스제너레이터]]</f>
        <v>UI_Credit_Programming_Programmer</v>
      </c>
      <c r="C87" s="51" t="s">
        <v>1120</v>
      </c>
      <c r="D87" s="51" t="s">
        <v>1104</v>
      </c>
      <c r="E87" s="81" t="s">
        <v>471</v>
      </c>
      <c r="F87" s="81" t="s">
        <v>1095</v>
      </c>
      <c r="G87" s="81" t="s">
        <v>1102</v>
      </c>
      <c r="H87" s="81" t="s">
        <v>1104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8" spans="2:9">
      <c r="B88" t="str">
        <f>LocaleTable[[#This Row],['#인덱스제너레이터]]</f>
        <v>UI_Credit_Art</v>
      </c>
      <c r="C88" s="51" t="s">
        <v>1121</v>
      </c>
      <c r="D88" s="51" t="s">
        <v>1100</v>
      </c>
      <c r="E88" s="81" t="s">
        <v>471</v>
      </c>
      <c r="F88" s="81" t="s">
        <v>1095</v>
      </c>
      <c r="G88" s="81" t="s">
        <v>1100</v>
      </c>
      <c r="H88" s="81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89" spans="2:9">
      <c r="B89" t="str">
        <f>LocaleTable[[#This Row],['#인덱스제너레이터]]</f>
        <v>UI_Credit_Art_AD</v>
      </c>
      <c r="C89" s="51" t="s">
        <v>1122</v>
      </c>
      <c r="D89" s="51" t="s">
        <v>1147</v>
      </c>
      <c r="E89" s="81" t="s">
        <v>471</v>
      </c>
      <c r="F89" s="81" t="s">
        <v>1095</v>
      </c>
      <c r="G89" s="81" t="s">
        <v>1100</v>
      </c>
      <c r="H89" s="81" t="s">
        <v>1101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0" spans="2:9">
      <c r="B90" t="str">
        <f>LocaleTable[[#This Row],['#인덱스제너레이터]]</f>
        <v>UI_Credit_Art_ViceAD</v>
      </c>
      <c r="C90" s="51" t="s">
        <v>1123</v>
      </c>
      <c r="D90" s="51" t="s">
        <v>1146</v>
      </c>
      <c r="E90" s="81" t="s">
        <v>471</v>
      </c>
      <c r="F90" s="81" t="s">
        <v>1095</v>
      </c>
      <c r="G90" s="81" t="s">
        <v>1100</v>
      </c>
      <c r="H90" s="81" t="s">
        <v>1105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1" spans="2:9">
      <c r="B91" t="str">
        <f>LocaleTable[[#This Row],['#인덱스제너레이터]]</f>
        <v>UI_Credit_Art_LeadEnvArt</v>
      </c>
      <c r="C91" s="51" t="s">
        <v>1124</v>
      </c>
      <c r="D91" s="51" t="s">
        <v>1145</v>
      </c>
      <c r="E91" s="81" t="s">
        <v>471</v>
      </c>
      <c r="F91" s="81" t="s">
        <v>1095</v>
      </c>
      <c r="G91" s="81" t="s">
        <v>1100</v>
      </c>
      <c r="H91" s="81" t="s">
        <v>1106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2" spans="2:9">
      <c r="B92" t="str">
        <f>LocaleTable[[#This Row],['#인덱스제너레이터]]</f>
        <v>UI_Credit_Art_EnvArt</v>
      </c>
      <c r="C92" s="51" t="s">
        <v>1125</v>
      </c>
      <c r="D92" s="51" t="s">
        <v>1144</v>
      </c>
      <c r="E92" s="81" t="s">
        <v>471</v>
      </c>
      <c r="F92" s="81" t="s">
        <v>1095</v>
      </c>
      <c r="G92" s="81" t="s">
        <v>1100</v>
      </c>
      <c r="H92" s="81" t="s">
        <v>1154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3" spans="2:9">
      <c r="B93" t="str">
        <f>LocaleTable[[#This Row],['#인덱스제너레이터]]</f>
        <v>UI_Credit_Art_CharArt</v>
      </c>
      <c r="C93" s="51" t="s">
        <v>1126</v>
      </c>
      <c r="D93" s="51" t="s">
        <v>1143</v>
      </c>
      <c r="E93" s="81" t="s">
        <v>471</v>
      </c>
      <c r="F93" s="81" t="s">
        <v>1095</v>
      </c>
      <c r="G93" s="81" t="s">
        <v>1100</v>
      </c>
      <c r="H93" s="81" t="s">
        <v>1107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4" spans="2:9">
      <c r="B94" t="str">
        <f>LocaleTable[[#This Row],['#인덱스제너레이터]]</f>
        <v>UI_Credit_Art_CharAnim</v>
      </c>
      <c r="C94" s="51" t="s">
        <v>1127</v>
      </c>
      <c r="D94" s="51" t="s">
        <v>1142</v>
      </c>
      <c r="E94" s="81" t="s">
        <v>471</v>
      </c>
      <c r="F94" s="81" t="s">
        <v>1095</v>
      </c>
      <c r="G94" s="81" t="s">
        <v>1100</v>
      </c>
      <c r="H94" s="81" t="s">
        <v>1108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5" spans="2:9">
      <c r="B95" t="str">
        <f>LocaleTable[[#This Row],['#인덱스제너레이터]]</f>
        <v>UI_Credit_Art_LeadFX</v>
      </c>
      <c r="C95" s="51" t="s">
        <v>1128</v>
      </c>
      <c r="D95" s="51" t="s">
        <v>1141</v>
      </c>
      <c r="E95" s="81" t="s">
        <v>471</v>
      </c>
      <c r="F95" s="81" t="s">
        <v>1095</v>
      </c>
      <c r="G95" s="81" t="s">
        <v>1100</v>
      </c>
      <c r="H95" s="81" t="s">
        <v>1109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6" spans="2:9">
      <c r="B96" t="str">
        <f>LocaleTable[[#This Row],['#인덱스제너레이터]]</f>
        <v>UI_Credit_Art_FX</v>
      </c>
      <c r="C96" s="51" t="s">
        <v>1133</v>
      </c>
      <c r="D96" s="51" t="s">
        <v>1110</v>
      </c>
      <c r="E96" s="81" t="s">
        <v>471</v>
      </c>
      <c r="F96" s="81" t="s">
        <v>1095</v>
      </c>
      <c r="G96" s="81" t="s">
        <v>1100</v>
      </c>
      <c r="H96" s="81" t="s">
        <v>1110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7" spans="2:9">
      <c r="B97" t="str">
        <f>LocaleTable[[#This Row],['#인덱스제너레이터]]</f>
        <v>UI_Credit_Sound</v>
      </c>
      <c r="C97" s="51" t="s">
        <v>1129</v>
      </c>
      <c r="D97" s="51" t="s">
        <v>1112</v>
      </c>
      <c r="E97" s="81" t="s">
        <v>471</v>
      </c>
      <c r="F97" s="81" t="s">
        <v>1095</v>
      </c>
      <c r="G97" s="81" t="s">
        <v>1112</v>
      </c>
      <c r="H97" s="81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8" spans="2:9">
      <c r="B98" t="str">
        <f>LocaleTable[[#This Row],['#인덱스제너레이터]]</f>
        <v>UI_Credit_Sound_Desinger</v>
      </c>
      <c r="C98" s="51" t="s">
        <v>1130</v>
      </c>
      <c r="D98" s="51" t="s">
        <v>1140</v>
      </c>
      <c r="E98" s="81" t="s">
        <v>471</v>
      </c>
      <c r="F98" s="81" t="s">
        <v>1095</v>
      </c>
      <c r="G98" s="81" t="s">
        <v>1112</v>
      </c>
      <c r="H98" s="81" t="s">
        <v>1111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99" spans="2:9">
      <c r="B99" t="str">
        <f>LocaleTable[[#This Row],['#인덱스제너레이터]]</f>
        <v>UI_Credit_Support</v>
      </c>
      <c r="C99" s="51" t="s">
        <v>1131</v>
      </c>
      <c r="D99" s="51" t="s">
        <v>1139</v>
      </c>
      <c r="E99" s="81" t="s">
        <v>471</v>
      </c>
      <c r="F99" s="81" t="s">
        <v>1095</v>
      </c>
      <c r="G99" s="81" t="s">
        <v>1113</v>
      </c>
      <c r="H99" s="81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0" spans="2:9">
      <c r="B100" t="str">
        <f>LocaleTable[[#This Row],['#인덱스제너레이터]]</f>
        <v>UI_Credit_Guest</v>
      </c>
      <c r="C100" s="51" t="s">
        <v>1132</v>
      </c>
      <c r="D100" s="51" t="s">
        <v>1138</v>
      </c>
      <c r="E100" s="81" t="s">
        <v>471</v>
      </c>
      <c r="F100" s="81" t="s">
        <v>1095</v>
      </c>
      <c r="G100" s="81" t="s">
        <v>1114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1" spans="2:9">
      <c r="B101" t="str">
        <f>LocaleTable[[#This Row],['#인덱스제너레이터]]</f>
        <v>Caster_Lobby_Tutorial_1</v>
      </c>
      <c r="C101" s="51" t="s">
        <v>907</v>
      </c>
      <c r="D101" s="51" t="s">
        <v>908</v>
      </c>
      <c r="E101" s="81" t="s">
        <v>892</v>
      </c>
      <c r="F101" s="81" t="s">
        <v>893</v>
      </c>
      <c r="G101" s="81" t="s">
        <v>495</v>
      </c>
      <c r="H101" s="81">
        <v>1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2" spans="2:9" ht="33">
      <c r="B102" t="str">
        <f>LocaleTable[[#This Row],['#인덱스제너레이터]]</f>
        <v>Caster_Lobby_Tutorial_2</v>
      </c>
      <c r="C102" s="9" t="s">
        <v>909</v>
      </c>
      <c r="D102" s="51" t="s">
        <v>910</v>
      </c>
      <c r="E102" s="83" t="s">
        <v>892</v>
      </c>
      <c r="F102" s="83" t="s">
        <v>893</v>
      </c>
      <c r="G102" s="83" t="s">
        <v>495</v>
      </c>
      <c r="H102" s="83">
        <v>2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3" spans="2:9">
      <c r="B103" t="str">
        <f>LocaleTable[[#This Row],['#인덱스제너레이터]]</f>
        <v>Caster_Lobby_Tutorial_3</v>
      </c>
      <c r="C103" s="9" t="s">
        <v>911</v>
      </c>
      <c r="D103" s="51" t="s">
        <v>912</v>
      </c>
      <c r="E103" s="83" t="s">
        <v>892</v>
      </c>
      <c r="F103" s="83" t="s">
        <v>893</v>
      </c>
      <c r="G103" s="83" t="s">
        <v>495</v>
      </c>
      <c r="H103" s="83">
        <v>3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4" spans="2:9">
      <c r="B104" t="str">
        <f>LocaleTable[[#This Row],['#인덱스제너레이터]]</f>
        <v>Caster_Lobby_ClearTutorial_1</v>
      </c>
      <c r="C104" s="9" t="s">
        <v>913</v>
      </c>
      <c r="D104" s="51" t="s">
        <v>1086</v>
      </c>
      <c r="E104" s="83" t="s">
        <v>892</v>
      </c>
      <c r="F104" s="83" t="s">
        <v>893</v>
      </c>
      <c r="G104" s="83" t="s">
        <v>894</v>
      </c>
      <c r="H104" s="83">
        <v>1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5" spans="2:9">
      <c r="B105" t="str">
        <f>LocaleTable[[#This Row],['#인덱스제너레이터]]</f>
        <v>Caster_Lobby_ClearTutorial_2</v>
      </c>
      <c r="C105" s="9" t="s">
        <v>914</v>
      </c>
      <c r="D105" s="51" t="s">
        <v>915</v>
      </c>
      <c r="E105" s="83" t="s">
        <v>892</v>
      </c>
      <c r="F105" s="83" t="s">
        <v>893</v>
      </c>
      <c r="G105" s="83" t="s">
        <v>894</v>
      </c>
      <c r="H105" s="83">
        <v>2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6" spans="2:9">
      <c r="B106" t="str">
        <f>LocaleTable[[#This Row],['#인덱스제너레이터]]</f>
        <v>Caster_Lobby_Default_1</v>
      </c>
      <c r="C106" s="9" t="s">
        <v>916</v>
      </c>
      <c r="D106" s="51" t="s">
        <v>917</v>
      </c>
      <c r="E106" s="83" t="s">
        <v>892</v>
      </c>
      <c r="F106" s="83" t="s">
        <v>893</v>
      </c>
      <c r="G106" s="83" t="s">
        <v>895</v>
      </c>
      <c r="H106" s="83">
        <v>1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7" spans="2:9">
      <c r="B107" t="str">
        <f>LocaleTable[[#This Row],['#인덱스제너레이터]]</f>
        <v>Caster_Lobby_Default_2</v>
      </c>
      <c r="C107" s="9" t="s">
        <v>918</v>
      </c>
      <c r="D107" t="s">
        <v>1087</v>
      </c>
      <c r="E107" s="83" t="s">
        <v>892</v>
      </c>
      <c r="F107" s="83" t="s">
        <v>893</v>
      </c>
      <c r="G107" s="83" t="s">
        <v>895</v>
      </c>
      <c r="H107" s="83">
        <v>2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8" spans="2:9">
      <c r="B108" t="str">
        <f>LocaleTable[[#This Row],['#인덱스제너레이터]]</f>
        <v>Caster_Lobby_Default_3</v>
      </c>
      <c r="C108" s="9" t="s">
        <v>919</v>
      </c>
      <c r="D108" t="s">
        <v>1088</v>
      </c>
      <c r="E108" s="83" t="s">
        <v>892</v>
      </c>
      <c r="F108" s="83" t="s">
        <v>893</v>
      </c>
      <c r="G108" s="83" t="s">
        <v>895</v>
      </c>
      <c r="H108" s="83">
        <v>3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09" spans="2:9">
      <c r="B109" t="str">
        <f>LocaleTable[[#This Row],['#인덱스제너레이터]]</f>
        <v>Caster_Lobby_Jello_1</v>
      </c>
      <c r="C109" s="9" t="s">
        <v>920</v>
      </c>
      <c r="D109" t="s">
        <v>1089</v>
      </c>
      <c r="E109" s="83" t="s">
        <v>892</v>
      </c>
      <c r="F109" s="83" t="s">
        <v>893</v>
      </c>
      <c r="G109" s="83" t="s">
        <v>896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0" spans="2:9">
      <c r="B110" t="str">
        <f>LocaleTable[[#This Row],['#인덱스제너레이터]]</f>
        <v>Caster_Lobby_Saddy_1</v>
      </c>
      <c r="C110" s="9" t="s">
        <v>921</v>
      </c>
      <c r="D110" t="s">
        <v>1090</v>
      </c>
      <c r="E110" s="83" t="s">
        <v>892</v>
      </c>
      <c r="F110" s="83" t="s">
        <v>893</v>
      </c>
      <c r="G110" s="83" t="s">
        <v>897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1" spans="2:9">
      <c r="B111" t="str">
        <f>LocaleTable[[#This Row],['#인덱스제너레이터]]</f>
        <v>Caster_Lobby_Dullahan_1</v>
      </c>
      <c r="C111" s="9" t="s">
        <v>922</v>
      </c>
      <c r="D111" t="s">
        <v>1091</v>
      </c>
      <c r="E111" s="83" t="s">
        <v>892</v>
      </c>
      <c r="F111" s="83" t="s">
        <v>893</v>
      </c>
      <c r="G111" s="83" t="s">
        <v>898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2" spans="2:9">
      <c r="B112" t="str">
        <f>LocaleTable[[#This Row],['#인덱스제너레이터]]</f>
        <v>Caster_Lobby_GameClear_1</v>
      </c>
      <c r="C112" s="9" t="s">
        <v>923</v>
      </c>
      <c r="D112" s="51" t="s">
        <v>924</v>
      </c>
      <c r="E112" s="83" t="s">
        <v>892</v>
      </c>
      <c r="F112" s="83" t="s">
        <v>893</v>
      </c>
      <c r="G112" s="83" t="s">
        <v>899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3" spans="2:9">
      <c r="B113" t="str">
        <f>LocaleTable[[#This Row],['#인덱스제너레이터]]</f>
        <v>Caster_Lobby_GameClear_2</v>
      </c>
      <c r="C113" s="9" t="s">
        <v>925</v>
      </c>
      <c r="D113" s="51" t="s">
        <v>926</v>
      </c>
      <c r="E113" s="83" t="s">
        <v>892</v>
      </c>
      <c r="F113" s="83" t="s">
        <v>893</v>
      </c>
      <c r="G113" s="83" t="s">
        <v>899</v>
      </c>
      <c r="H113" s="83">
        <v>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4" spans="2:9">
      <c r="B114" t="str">
        <f>LocaleTable[[#This Row],['#인덱스제너레이터]]</f>
        <v>Caster_Lobby_GameClear_3</v>
      </c>
      <c r="C114" s="9" t="s">
        <v>927</v>
      </c>
      <c r="D114" s="51" t="s">
        <v>928</v>
      </c>
      <c r="E114" s="83" t="s">
        <v>892</v>
      </c>
      <c r="F114" s="83" t="s">
        <v>893</v>
      </c>
      <c r="G114" s="83" t="s">
        <v>899</v>
      </c>
      <c r="H114" s="83">
        <v>3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5" spans="2:9" ht="33">
      <c r="B115" t="str">
        <f>LocaleTable[[#This Row],['#인덱스제너레이터]]</f>
        <v>Caster_Tutorial_Start_1</v>
      </c>
      <c r="C115" s="9" t="s">
        <v>929</v>
      </c>
      <c r="D115" s="51" t="s">
        <v>930</v>
      </c>
      <c r="E115" s="83" t="s">
        <v>892</v>
      </c>
      <c r="F115" s="83" t="s">
        <v>495</v>
      </c>
      <c r="G115" s="83" t="s">
        <v>493</v>
      </c>
      <c r="H115" s="83">
        <v>1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6" spans="2:9">
      <c r="B116" t="str">
        <f>LocaleTable[[#This Row],['#인덱스제너레이터]]</f>
        <v>Caster_Tutorial_Attack_1</v>
      </c>
      <c r="C116" s="9" t="s">
        <v>931</v>
      </c>
      <c r="D116" s="51" t="s">
        <v>932</v>
      </c>
      <c r="E116" s="83" t="s">
        <v>892</v>
      </c>
      <c r="F116" s="83" t="s">
        <v>495</v>
      </c>
      <c r="G116" s="83" t="s">
        <v>900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7" spans="2:9">
      <c r="B117" t="str">
        <f>LocaleTable[[#This Row],['#인덱스제너레이터]]</f>
        <v>Caster_Tutorial_Attack_2</v>
      </c>
      <c r="C117" s="9" t="s">
        <v>933</v>
      </c>
      <c r="D117" s="51" t="s">
        <v>1016</v>
      </c>
      <c r="E117" s="83" t="s">
        <v>892</v>
      </c>
      <c r="F117" s="83" t="s">
        <v>495</v>
      </c>
      <c r="G117" s="83" t="s">
        <v>900</v>
      </c>
      <c r="H117" s="83">
        <v>2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8" spans="2:9">
      <c r="B118" t="str">
        <f>LocaleTable[[#This Row],['#인덱스제너레이터]]</f>
        <v>Caster_Tutorial_Attack_3</v>
      </c>
      <c r="C118" s="9" t="s">
        <v>934</v>
      </c>
      <c r="D118" s="51" t="s">
        <v>935</v>
      </c>
      <c r="E118" s="83" t="s">
        <v>892</v>
      </c>
      <c r="F118" s="83" t="s">
        <v>495</v>
      </c>
      <c r="G118" s="83" t="s">
        <v>900</v>
      </c>
      <c r="H118" s="83">
        <v>3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19" spans="2:9" ht="33">
      <c r="B119" t="str">
        <f>LocaleTable[[#This Row],['#인덱스제너레이터]]</f>
        <v>Caster_Tutorial_Attack_4</v>
      </c>
      <c r="C119" s="9" t="s">
        <v>936</v>
      </c>
      <c r="D119" s="51" t="s">
        <v>1017</v>
      </c>
      <c r="E119" s="83" t="s">
        <v>892</v>
      </c>
      <c r="F119" s="83" t="s">
        <v>495</v>
      </c>
      <c r="G119" s="83" t="s">
        <v>900</v>
      </c>
      <c r="H119" s="83">
        <v>4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0" spans="2:9">
      <c r="B120" t="str">
        <f>LocaleTable[[#This Row],['#인덱스제너레이터]]</f>
        <v>Caster_Tutorial_Attack_5</v>
      </c>
      <c r="C120" s="9" t="s">
        <v>937</v>
      </c>
      <c r="D120" s="51" t="s">
        <v>938</v>
      </c>
      <c r="E120" s="83" t="s">
        <v>892</v>
      </c>
      <c r="F120" s="83" t="s">
        <v>495</v>
      </c>
      <c r="G120" s="83" t="s">
        <v>900</v>
      </c>
      <c r="H120" s="83">
        <v>5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1" spans="2:9" ht="33">
      <c r="B121" t="str">
        <f>LocaleTable[[#This Row],['#인덱스제너레이터]]</f>
        <v>Caster_Tutorial_Attack_6</v>
      </c>
      <c r="C121" s="9" t="s">
        <v>939</v>
      </c>
      <c r="D121" s="51" t="s">
        <v>940</v>
      </c>
      <c r="E121" s="83" t="s">
        <v>892</v>
      </c>
      <c r="F121" s="83" t="s">
        <v>495</v>
      </c>
      <c r="G121" s="83" t="s">
        <v>900</v>
      </c>
      <c r="H121" s="83">
        <v>6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2" spans="2:9" ht="33">
      <c r="B122" t="str">
        <f>LocaleTable[[#This Row],['#인덱스제너레이터]]</f>
        <v>Caster_Tutorial_Attack_7</v>
      </c>
      <c r="C122" s="58" t="s">
        <v>1018</v>
      </c>
      <c r="D122" s="51" t="s">
        <v>1019</v>
      </c>
      <c r="E122" s="83" t="s">
        <v>892</v>
      </c>
      <c r="F122" s="83" t="s">
        <v>495</v>
      </c>
      <c r="G122" s="83" t="s">
        <v>900</v>
      </c>
      <c r="H122" s="83">
        <v>7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3" spans="2:9">
      <c r="B123" t="str">
        <f>LocaleTable[[#This Row],['#인덱스제너레이터]]</f>
        <v>Caster_Tutorial_Attack_8</v>
      </c>
      <c r="C123" s="9" t="s">
        <v>941</v>
      </c>
      <c r="D123" s="51" t="s">
        <v>942</v>
      </c>
      <c r="E123" s="83" t="s">
        <v>892</v>
      </c>
      <c r="F123" s="83" t="s">
        <v>495</v>
      </c>
      <c r="G123" s="83" t="s">
        <v>900</v>
      </c>
      <c r="H123" s="83">
        <v>8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4" spans="2:9">
      <c r="B124" t="str">
        <f>LocaleTable[[#This Row],['#인덱스제너레이터]]</f>
        <v>Caster_Tutorial_Attack_9</v>
      </c>
      <c r="C124" s="9" t="s">
        <v>943</v>
      </c>
      <c r="D124" s="51" t="s">
        <v>944</v>
      </c>
      <c r="E124" s="83" t="s">
        <v>892</v>
      </c>
      <c r="F124" s="83" t="s">
        <v>495</v>
      </c>
      <c r="G124" s="83" t="s">
        <v>900</v>
      </c>
      <c r="H124" s="83">
        <v>9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5" spans="2:9">
      <c r="B125" t="str">
        <f>LocaleTable[[#This Row],['#인덱스제너레이터]]</f>
        <v>Caster_Tutorial_Attack_10</v>
      </c>
      <c r="C125" s="71" t="s">
        <v>1077</v>
      </c>
      <c r="D125" s="51" t="s">
        <v>945</v>
      </c>
      <c r="E125" s="83" t="s">
        <v>892</v>
      </c>
      <c r="F125" s="83" t="s">
        <v>495</v>
      </c>
      <c r="G125" s="83" t="s">
        <v>900</v>
      </c>
      <c r="H125" s="83">
        <v>10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6" spans="2:9">
      <c r="B126" t="str">
        <f>LocaleTable[[#This Row],['#인덱스제너레이터]]</f>
        <v>Caster_Tutorial_Parry_1</v>
      </c>
      <c r="C126" s="9" t="s">
        <v>946</v>
      </c>
      <c r="D126" s="51" t="s">
        <v>947</v>
      </c>
      <c r="E126" s="83" t="s">
        <v>892</v>
      </c>
      <c r="F126" s="83" t="s">
        <v>495</v>
      </c>
      <c r="G126" s="83" t="s">
        <v>901</v>
      </c>
      <c r="H126" s="83">
        <v>1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7" spans="2:9">
      <c r="B127" t="str">
        <f>LocaleTable[[#This Row],['#인덱스제너레이터]]</f>
        <v>Caster_Tutorial_Parry_2</v>
      </c>
      <c r="C127" s="9" t="s">
        <v>948</v>
      </c>
      <c r="D127" s="51" t="s">
        <v>949</v>
      </c>
      <c r="E127" s="83" t="s">
        <v>892</v>
      </c>
      <c r="F127" s="83" t="s">
        <v>495</v>
      </c>
      <c r="G127" s="83" t="s">
        <v>901</v>
      </c>
      <c r="H127" s="83">
        <v>2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8" spans="2:9" ht="33">
      <c r="B128" t="str">
        <f>LocaleTable[[#This Row],['#인덱스제너레이터]]</f>
        <v>Caster_Tutorial_Active_1</v>
      </c>
      <c r="C128" s="9" t="s">
        <v>950</v>
      </c>
      <c r="D128" t="s">
        <v>1092</v>
      </c>
      <c r="E128" s="83" t="s">
        <v>892</v>
      </c>
      <c r="F128" s="83" t="s">
        <v>495</v>
      </c>
      <c r="G128" s="83" t="s">
        <v>902</v>
      </c>
      <c r="H128" s="83">
        <v>1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29" spans="2:9">
      <c r="B129" t="str">
        <f>LocaleTable[[#This Row],['#인덱스제너레이터]]</f>
        <v>Caster_Tutorial_Active_2</v>
      </c>
      <c r="C129" s="9" t="s">
        <v>951</v>
      </c>
      <c r="D129" s="51" t="s">
        <v>952</v>
      </c>
      <c r="E129" s="83" t="s">
        <v>892</v>
      </c>
      <c r="F129" s="83" t="s">
        <v>495</v>
      </c>
      <c r="G129" s="83" t="s">
        <v>902</v>
      </c>
      <c r="H129" s="83">
        <v>2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0" spans="2:9" ht="33">
      <c r="B130" t="str">
        <f>LocaleTable[[#This Row],['#인덱스제너레이터]]</f>
        <v>Caster_Tutorial_Active_3</v>
      </c>
      <c r="C130" s="9" t="s">
        <v>953</v>
      </c>
      <c r="D130" s="51" t="s">
        <v>954</v>
      </c>
      <c r="E130" s="83" t="s">
        <v>892</v>
      </c>
      <c r="F130" s="83" t="s">
        <v>495</v>
      </c>
      <c r="G130" s="83" t="s">
        <v>902</v>
      </c>
      <c r="H130" s="83">
        <v>3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1" spans="2:9" ht="33">
      <c r="B131" t="str">
        <f>LocaleTable[[#This Row],['#인덱스제너레이터]]</f>
        <v>Caster_Tutorial_Active_4</v>
      </c>
      <c r="C131" s="9" t="s">
        <v>955</v>
      </c>
      <c r="D131" s="51" t="s">
        <v>956</v>
      </c>
      <c r="E131" s="83" t="s">
        <v>892</v>
      </c>
      <c r="F131" s="83" t="s">
        <v>495</v>
      </c>
      <c r="G131" s="83" t="s">
        <v>902</v>
      </c>
      <c r="H131" s="83">
        <v>4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2" spans="2:9">
      <c r="B132" t="str">
        <f>LocaleTable[[#This Row],['#인덱스제너레이터]]</f>
        <v>Caster_Tutorial_Battle_1</v>
      </c>
      <c r="C132" s="9" t="s">
        <v>957</v>
      </c>
      <c r="D132" s="51" t="s">
        <v>958</v>
      </c>
      <c r="E132" s="83" t="s">
        <v>892</v>
      </c>
      <c r="F132" s="83" t="s">
        <v>495</v>
      </c>
      <c r="G132" s="83" t="s">
        <v>903</v>
      </c>
      <c r="H132" s="83">
        <v>1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3" spans="2:9" ht="33">
      <c r="B133" t="str">
        <f>LocaleTable[[#This Row],['#인덱스제너레이터]]</f>
        <v>Caster_Tutorial_Battle_2</v>
      </c>
      <c r="C133" s="9" t="s">
        <v>959</v>
      </c>
      <c r="D133" s="51" t="s">
        <v>960</v>
      </c>
      <c r="E133" s="83" t="s">
        <v>892</v>
      </c>
      <c r="F133" s="83" t="s">
        <v>495</v>
      </c>
      <c r="G133" s="83" t="s">
        <v>903</v>
      </c>
      <c r="H133" s="83">
        <v>2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4" spans="2:9">
      <c r="B134" t="str">
        <f>LocaleTable[[#This Row],['#인덱스제너레이터]]</f>
        <v>Caster_Tutorial_Battle_3</v>
      </c>
      <c r="C134" s="9" t="s">
        <v>961</v>
      </c>
      <c r="D134" s="51" t="s">
        <v>962</v>
      </c>
      <c r="E134" s="83" t="s">
        <v>892</v>
      </c>
      <c r="F134" s="83" t="s">
        <v>495</v>
      </c>
      <c r="G134" s="83" t="s">
        <v>903</v>
      </c>
      <c r="H134" s="83">
        <v>3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5" spans="2:9">
      <c r="B135" t="str">
        <f>LocaleTable[[#This Row],['#인덱스제너레이터]]</f>
        <v>Caster_Boss_Clear_Jello</v>
      </c>
      <c r="C135" s="71" t="s">
        <v>1075</v>
      </c>
      <c r="D135" s="11" t="s">
        <v>1094</v>
      </c>
      <c r="E135" s="83" t="s">
        <v>892</v>
      </c>
      <c r="F135" s="83" t="s">
        <v>904</v>
      </c>
      <c r="G135" s="83" t="s">
        <v>905</v>
      </c>
      <c r="H135" s="83" t="s">
        <v>896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6" spans="2:9" ht="33">
      <c r="B136" t="str">
        <f>LocaleTable[[#This Row],['#인덱스제너레이터]]</f>
        <v>Caster_Boss_Clear_Saddy</v>
      </c>
      <c r="C136" s="71" t="s">
        <v>1076</v>
      </c>
      <c r="D136" s="11" t="s">
        <v>1093</v>
      </c>
      <c r="E136" s="83" t="s">
        <v>892</v>
      </c>
      <c r="F136" s="83" t="s">
        <v>904</v>
      </c>
      <c r="G136" s="83" t="s">
        <v>905</v>
      </c>
      <c r="H136" s="83" t="s">
        <v>897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7" spans="2:9" ht="33">
      <c r="B137" t="str">
        <f>LocaleTable[[#This Row],['#인덱스제너레이터]]</f>
        <v>Caster_Boss_Clear_Teleport</v>
      </c>
      <c r="C137" s="71" t="s">
        <v>1078</v>
      </c>
      <c r="D137" s="51" t="s">
        <v>1079</v>
      </c>
      <c r="E137" s="83" t="s">
        <v>892</v>
      </c>
      <c r="F137" s="83" t="s">
        <v>904</v>
      </c>
      <c r="G137" s="83" t="s">
        <v>905</v>
      </c>
      <c r="H137" s="83" t="s">
        <v>906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8" spans="2:9">
      <c r="B138" t="str">
        <f>LocaleTable[[#This Row],['#인덱스제너레이터]]</f>
        <v>Item_Name_2000</v>
      </c>
      <c r="C138" s="51" t="s">
        <v>206</v>
      </c>
      <c r="D138" s="51" t="s">
        <v>457</v>
      </c>
      <c r="E138" s="81" t="s">
        <v>465</v>
      </c>
      <c r="F138" s="81" t="s">
        <v>315</v>
      </c>
      <c r="G138" s="83">
        <v>2000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39" spans="2:9">
      <c r="B139" t="str">
        <f>LocaleTable[[#This Row],['#인덱스제너레이터]]</f>
        <v>Item_Name_2001</v>
      </c>
      <c r="C139" s="51" t="s">
        <v>838</v>
      </c>
      <c r="D139" s="51" t="s">
        <v>839</v>
      </c>
      <c r="E139" s="81" t="s">
        <v>465</v>
      </c>
      <c r="F139" s="81" t="s">
        <v>315</v>
      </c>
      <c r="G139" s="83">
        <v>2001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0" spans="2:9">
      <c r="B140" t="str">
        <f>LocaleTable[[#This Row],['#인덱스제너레이터]]</f>
        <v>Item_Name_2002</v>
      </c>
      <c r="C140" s="51" t="s">
        <v>98</v>
      </c>
      <c r="D140" s="51" t="s">
        <v>458</v>
      </c>
      <c r="E140" s="81" t="s">
        <v>465</v>
      </c>
      <c r="F140" s="81" t="s">
        <v>315</v>
      </c>
      <c r="G140" s="83">
        <v>2002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1" spans="2:9">
      <c r="B141" t="str">
        <f>LocaleTable[[#This Row],['#인덱스제너레이터]]</f>
        <v>Item_Name_2003</v>
      </c>
      <c r="C141" s="51" t="s">
        <v>97</v>
      </c>
      <c r="D141" s="51" t="s">
        <v>508</v>
      </c>
      <c r="E141" s="81" t="s">
        <v>465</v>
      </c>
      <c r="F141" s="81" t="s">
        <v>315</v>
      </c>
      <c r="G141" s="83">
        <v>2003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2" spans="2:9">
      <c r="B142" t="str">
        <f>LocaleTable[[#This Row],['#인덱스제너레이터]]</f>
        <v>Item_Name_2004</v>
      </c>
      <c r="C142" s="51" t="s">
        <v>94</v>
      </c>
      <c r="D142" s="51" t="s">
        <v>463</v>
      </c>
      <c r="E142" s="81" t="s">
        <v>465</v>
      </c>
      <c r="F142" s="81" t="s">
        <v>315</v>
      </c>
      <c r="G142" s="83">
        <v>2004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3" spans="2:9">
      <c r="B143" t="str">
        <f>LocaleTable[[#This Row],['#인덱스제너레이터]]</f>
        <v>Item_Name_2005</v>
      </c>
      <c r="C143" s="51" t="s">
        <v>99</v>
      </c>
      <c r="D143" s="51" t="s">
        <v>519</v>
      </c>
      <c r="E143" s="81" t="s">
        <v>465</v>
      </c>
      <c r="F143" s="81" t="s">
        <v>315</v>
      </c>
      <c r="G143" s="83">
        <v>2005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4" spans="2:9">
      <c r="B144" t="str">
        <f>LocaleTable[[#This Row],['#인덱스제너레이터]]</f>
        <v>Item_Name_2006</v>
      </c>
      <c r="C144" s="51" t="s">
        <v>984</v>
      </c>
      <c r="D144" s="51" t="s">
        <v>985</v>
      </c>
      <c r="E144" s="81" t="s">
        <v>465</v>
      </c>
      <c r="F144" s="81" t="s">
        <v>315</v>
      </c>
      <c r="G144" s="83">
        <v>2006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5" spans="2:9">
      <c r="B145" t="str">
        <f>LocaleTable[[#This Row],['#인덱스제너레이터]]</f>
        <v>Item_Name_3000</v>
      </c>
      <c r="C145" s="51" t="s">
        <v>33</v>
      </c>
      <c r="D145" s="51" t="s">
        <v>459</v>
      </c>
      <c r="E145" s="81" t="s">
        <v>465</v>
      </c>
      <c r="F145" s="81" t="s">
        <v>315</v>
      </c>
      <c r="G145" s="83">
        <v>3000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6" spans="2:9">
      <c r="B146" t="str">
        <f>LocaleTable[[#This Row],['#인덱스제너레이터]]</f>
        <v>Item_Name_3001</v>
      </c>
      <c r="C146" s="51" t="s">
        <v>844</v>
      </c>
      <c r="D146" s="51" t="s">
        <v>845</v>
      </c>
      <c r="E146" s="81" t="s">
        <v>465</v>
      </c>
      <c r="F146" s="81" t="s">
        <v>315</v>
      </c>
      <c r="G146" s="83">
        <v>3001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7" spans="2:9">
      <c r="B147" t="str">
        <f>LocaleTable[[#This Row],['#인덱스제너레이터]]</f>
        <v>Item_Name_3002</v>
      </c>
      <c r="C147" s="51" t="s">
        <v>35</v>
      </c>
      <c r="D147" s="51" t="s">
        <v>464</v>
      </c>
      <c r="E147" s="81" t="s">
        <v>465</v>
      </c>
      <c r="F147" s="81" t="s">
        <v>315</v>
      </c>
      <c r="G147" s="83">
        <v>3002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8" spans="2:9">
      <c r="B148" t="str">
        <f>LocaleTable[[#This Row],['#인덱스제너레이터]]</f>
        <v>Item_Name_3003</v>
      </c>
      <c r="C148" s="51" t="s">
        <v>204</v>
      </c>
      <c r="D148" s="51" t="s">
        <v>509</v>
      </c>
      <c r="E148" s="81" t="s">
        <v>465</v>
      </c>
      <c r="F148" s="81" t="s">
        <v>315</v>
      </c>
      <c r="G148" s="83">
        <v>3003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49" spans="2:9">
      <c r="B149" t="str">
        <f>LocaleTable[[#This Row],['#인덱스제너레이터]]</f>
        <v>Item_Name_3004</v>
      </c>
      <c r="C149" s="51" t="s">
        <v>213</v>
      </c>
      <c r="D149" s="51" t="s">
        <v>510</v>
      </c>
      <c r="E149" s="81" t="s">
        <v>465</v>
      </c>
      <c r="F149" s="81" t="s">
        <v>315</v>
      </c>
      <c r="G149" s="83">
        <v>3004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0" spans="2:9">
      <c r="B150" t="str">
        <f>LocaleTable[[#This Row],['#인덱스제너레이터]]</f>
        <v>Item_Name_3005</v>
      </c>
      <c r="C150" s="51" t="s">
        <v>101</v>
      </c>
      <c r="D150" s="51" t="s">
        <v>511</v>
      </c>
      <c r="E150" s="81" t="s">
        <v>465</v>
      </c>
      <c r="F150" s="81" t="s">
        <v>315</v>
      </c>
      <c r="G150" s="83">
        <v>3005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1" spans="2:9">
      <c r="B151" t="str">
        <f>LocaleTable[[#This Row],['#인덱스제너레이터]]</f>
        <v>Item_Name_3006</v>
      </c>
      <c r="C151" s="52" t="s">
        <v>350</v>
      </c>
      <c r="D151" s="51" t="s">
        <v>512</v>
      </c>
      <c r="E151" s="81" t="s">
        <v>465</v>
      </c>
      <c r="F151" s="81" t="s">
        <v>315</v>
      </c>
      <c r="G151" s="83">
        <v>3006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2" spans="2:9">
      <c r="B152" t="str">
        <f>LocaleTable[[#This Row],['#인덱스제너레이터]]</f>
        <v>Item_Name_3007</v>
      </c>
      <c r="C152" s="52" t="s">
        <v>859</v>
      </c>
      <c r="D152" s="51" t="s">
        <v>860</v>
      </c>
      <c r="E152" s="81" t="s">
        <v>465</v>
      </c>
      <c r="F152" s="81" t="s">
        <v>315</v>
      </c>
      <c r="G152" s="83">
        <v>3007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3" spans="2:9">
      <c r="B153" t="str">
        <f>LocaleTable[[#This Row],['#인덱스제너레이터]]</f>
        <v>Item_Name_3008</v>
      </c>
      <c r="C153" s="51" t="s">
        <v>96</v>
      </c>
      <c r="D153" s="51" t="s">
        <v>513</v>
      </c>
      <c r="E153" s="81" t="s">
        <v>465</v>
      </c>
      <c r="F153" s="81" t="s">
        <v>315</v>
      </c>
      <c r="G153" s="83">
        <v>3008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4" spans="2:9">
      <c r="B154" t="str">
        <f>LocaleTable[[#This Row],['#인덱스제너레이터]]</f>
        <v>Item_Name_3009</v>
      </c>
      <c r="C154" s="51" t="s">
        <v>993</v>
      </c>
      <c r="D154" s="51" t="s">
        <v>994</v>
      </c>
      <c r="E154" s="81" t="s">
        <v>465</v>
      </c>
      <c r="F154" s="81" t="s">
        <v>315</v>
      </c>
      <c r="G154" s="83">
        <v>3009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5" spans="2:9">
      <c r="B155" t="str">
        <f>LocaleTable[[#This Row],['#인덱스제너레이터]]</f>
        <v>Item_Name_3010</v>
      </c>
      <c r="C155" s="51" t="s">
        <v>1005</v>
      </c>
      <c r="D155" s="51" t="s">
        <v>1006</v>
      </c>
      <c r="E155" s="81" t="s">
        <v>465</v>
      </c>
      <c r="F155" s="81" t="s">
        <v>315</v>
      </c>
      <c r="G155" s="83">
        <v>3010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6" spans="2:9">
      <c r="B156" t="str">
        <f>LocaleTable[[#This Row],['#인덱스제너레이터]]</f>
        <v>Item_Name_4001</v>
      </c>
      <c r="C156" s="51" t="s">
        <v>93</v>
      </c>
      <c r="D156" s="51" t="s">
        <v>460</v>
      </c>
      <c r="E156" s="81" t="s">
        <v>465</v>
      </c>
      <c r="F156" s="81" t="s">
        <v>315</v>
      </c>
      <c r="G156" s="83">
        <v>4001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7" spans="2:9">
      <c r="B157" t="str">
        <f>LocaleTable[[#This Row],['#인덱스제너레이터]]</f>
        <v>Item_Name_4002</v>
      </c>
      <c r="C157" s="51" t="s">
        <v>849</v>
      </c>
      <c r="D157" s="51" t="s">
        <v>846</v>
      </c>
      <c r="E157" s="81" t="s">
        <v>465</v>
      </c>
      <c r="F157" s="81" t="s">
        <v>315</v>
      </c>
      <c r="G157" s="83">
        <v>4002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8" spans="2:9">
      <c r="B158" t="str">
        <f>LocaleTable[[#This Row],['#인덱스제너레이터]]</f>
        <v>Item_Name_4003</v>
      </c>
      <c r="C158" s="51" t="s">
        <v>1023</v>
      </c>
      <c r="D158" s="51" t="s">
        <v>1024</v>
      </c>
      <c r="E158" s="81" t="s">
        <v>465</v>
      </c>
      <c r="F158" s="81" t="s">
        <v>315</v>
      </c>
      <c r="G158" s="83">
        <v>4003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59" spans="2:9">
      <c r="B159" t="str">
        <f>LocaleTable[[#This Row],['#인덱스제너레이터]]</f>
        <v>Item_Name_4004</v>
      </c>
      <c r="C159" s="51" t="s">
        <v>355</v>
      </c>
      <c r="D159" s="51" t="s">
        <v>514</v>
      </c>
      <c r="E159" s="81" t="s">
        <v>465</v>
      </c>
      <c r="F159" s="81" t="s">
        <v>315</v>
      </c>
      <c r="G159" s="83">
        <v>4004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0" spans="2:9">
      <c r="B160" t="str">
        <f>LocaleTable[[#This Row],['#인덱스제너레이터]]</f>
        <v>Item_Name_4005</v>
      </c>
      <c r="C160" s="51" t="s">
        <v>424</v>
      </c>
      <c r="D160" s="51" t="s">
        <v>515</v>
      </c>
      <c r="E160" s="81" t="s">
        <v>465</v>
      </c>
      <c r="F160" s="81" t="s">
        <v>315</v>
      </c>
      <c r="G160" s="83">
        <v>4005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1" spans="2:9">
      <c r="B161" t="str">
        <f>LocaleTable[[#This Row],['#인덱스제너레이터]]</f>
        <v>Item_Name_4006</v>
      </c>
      <c r="C161" s="51" t="s">
        <v>426</v>
      </c>
      <c r="D161" s="51" t="s">
        <v>721</v>
      </c>
      <c r="E161" s="81" t="s">
        <v>465</v>
      </c>
      <c r="F161" s="81" t="s">
        <v>315</v>
      </c>
      <c r="G161" s="83">
        <v>4006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2" spans="2:9">
      <c r="B162" t="str">
        <f>LocaleTable[[#This Row],['#인덱스제너레이터]]</f>
        <v>Item_Name_4007</v>
      </c>
      <c r="C162" s="52" t="s">
        <v>855</v>
      </c>
      <c r="D162" s="51" t="s">
        <v>854</v>
      </c>
      <c r="E162" s="81" t="s">
        <v>465</v>
      </c>
      <c r="F162" s="81" t="s">
        <v>315</v>
      </c>
      <c r="G162" s="83">
        <v>4007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3" spans="2:9">
      <c r="B163" t="str">
        <f>LocaleTable[[#This Row],['#인덱스제너레이터]]</f>
        <v>Item_Name_10000</v>
      </c>
      <c r="C163" s="51" t="s">
        <v>347</v>
      </c>
      <c r="D163" s="51" t="s">
        <v>516</v>
      </c>
      <c r="E163" s="81" t="s">
        <v>465</v>
      </c>
      <c r="F163" s="81" t="s">
        <v>315</v>
      </c>
      <c r="G163" s="83">
        <v>10000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4" spans="2:9">
      <c r="B164" t="str">
        <f>LocaleTable[[#This Row],['#인덱스제너레이터]]</f>
        <v>Item_Name_10001</v>
      </c>
      <c r="C164" s="52" t="s">
        <v>359</v>
      </c>
      <c r="D164" s="51" t="s">
        <v>517</v>
      </c>
      <c r="E164" s="81" t="s">
        <v>465</v>
      </c>
      <c r="F164" s="81" t="s">
        <v>315</v>
      </c>
      <c r="G164" s="83">
        <v>10001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5" spans="2:9">
      <c r="B165" t="str">
        <f>LocaleTable[[#This Row],['#인덱스제너레이터]]</f>
        <v>Item_Name_10002</v>
      </c>
      <c r="C165" s="52" t="s">
        <v>456</v>
      </c>
      <c r="D165" s="51" t="s">
        <v>461</v>
      </c>
      <c r="E165" s="81" t="s">
        <v>465</v>
      </c>
      <c r="F165" s="81" t="s">
        <v>315</v>
      </c>
      <c r="G165" s="83">
        <v>10002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6" spans="2:9">
      <c r="B166" t="str">
        <f>LocaleTable[[#This Row],['#인덱스제너레이터]]</f>
        <v>Item_Name_10003</v>
      </c>
      <c r="C166" s="52" t="s">
        <v>348</v>
      </c>
      <c r="D166" s="51" t="s">
        <v>518</v>
      </c>
      <c r="E166" s="81" t="s">
        <v>465</v>
      </c>
      <c r="F166" s="81" t="s">
        <v>315</v>
      </c>
      <c r="G166" s="83">
        <v>10003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7" spans="2:9">
      <c r="B167" t="str">
        <f>LocaleTable[[#This Row],['#인덱스제너레이터]]</f>
        <v>Item_Name_10004</v>
      </c>
      <c r="C167" s="51" t="s">
        <v>428</v>
      </c>
      <c r="D167" s="51" t="s">
        <v>462</v>
      </c>
      <c r="E167" s="81" t="s">
        <v>465</v>
      </c>
      <c r="F167" s="81" t="s">
        <v>315</v>
      </c>
      <c r="G167" s="83">
        <v>10004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8" spans="2:9">
      <c r="B168" t="str">
        <f>LocaleTable[[#This Row],['#인덱스제너레이터]]</f>
        <v>Item_Name_10005</v>
      </c>
      <c r="C168" s="51" t="s">
        <v>432</v>
      </c>
      <c r="D168" s="51" t="s">
        <v>722</v>
      </c>
      <c r="E168" s="81" t="s">
        <v>465</v>
      </c>
      <c r="F168" s="81" t="s">
        <v>315</v>
      </c>
      <c r="G168" s="83">
        <v>10005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69" spans="2:9">
      <c r="B169" t="str">
        <f>LocaleTable[[#This Row],['#인덱스제너레이터]]</f>
        <v>Item_Desc_2000</v>
      </c>
      <c r="C169" s="51" t="s">
        <v>386</v>
      </c>
      <c r="D169" s="51" t="s">
        <v>521</v>
      </c>
      <c r="E169" s="81" t="s">
        <v>465</v>
      </c>
      <c r="F169" s="81" t="s">
        <v>470</v>
      </c>
      <c r="G169" s="83">
        <v>2000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0" spans="2:9" ht="33">
      <c r="B170" t="str">
        <f>LocaleTable[[#This Row],['#인덱스제너레이터]]</f>
        <v>Item_Desc_2001</v>
      </c>
      <c r="C170" s="52" t="s">
        <v>850</v>
      </c>
      <c r="D170" s="51" t="s">
        <v>851</v>
      </c>
      <c r="E170" s="81" t="s">
        <v>465</v>
      </c>
      <c r="F170" s="81" t="s">
        <v>470</v>
      </c>
      <c r="G170" s="83">
        <v>2001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1" spans="2:9">
      <c r="B171" t="str">
        <f>LocaleTable[[#This Row],['#인덱스제너레이터]]</f>
        <v>Item_Desc_2002</v>
      </c>
      <c r="C171" s="52" t="s">
        <v>223</v>
      </c>
      <c r="D171" s="51" t="s">
        <v>522</v>
      </c>
      <c r="E171" s="81" t="s">
        <v>465</v>
      </c>
      <c r="F171" s="81" t="s">
        <v>470</v>
      </c>
      <c r="G171" s="83">
        <v>2002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2" spans="2:9">
      <c r="B172" t="str">
        <f>LocaleTable[[#This Row],['#인덱스제너레이터]]</f>
        <v>Item_Desc_2003</v>
      </c>
      <c r="C172" s="51" t="s">
        <v>224</v>
      </c>
      <c r="D172" s="51" t="s">
        <v>667</v>
      </c>
      <c r="E172" s="81" t="s">
        <v>465</v>
      </c>
      <c r="F172" s="81" t="s">
        <v>470</v>
      </c>
      <c r="G172" s="83">
        <v>2003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3" spans="2:9">
      <c r="B173" t="str">
        <f>LocaleTable[[#This Row],['#인덱스제너레이터]]</f>
        <v>Item_Desc_2004</v>
      </c>
      <c r="C173" s="77" t="s">
        <v>361</v>
      </c>
      <c r="D173" s="51" t="s">
        <v>523</v>
      </c>
      <c r="E173" s="81" t="s">
        <v>465</v>
      </c>
      <c r="F173" s="81" t="s">
        <v>470</v>
      </c>
      <c r="G173" s="83">
        <v>2004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4" spans="2:9">
      <c r="B174" t="str">
        <f>LocaleTable[[#This Row],['#인덱스제너레이터]]</f>
        <v>Item_Desc_2005</v>
      </c>
      <c r="C174" s="51" t="s">
        <v>227</v>
      </c>
      <c r="D174" s="51" t="s">
        <v>668</v>
      </c>
      <c r="E174" s="81" t="s">
        <v>465</v>
      </c>
      <c r="F174" s="81" t="s">
        <v>470</v>
      </c>
      <c r="G174" s="83">
        <v>2005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5" spans="2:9">
      <c r="B175" t="str">
        <f>LocaleTable[[#This Row],['#인덱스제너레이터]]</f>
        <v>Item_Desc_2006</v>
      </c>
      <c r="C175" s="51" t="s">
        <v>986</v>
      </c>
      <c r="D175" s="51" t="s">
        <v>987</v>
      </c>
      <c r="E175" s="81" t="s">
        <v>465</v>
      </c>
      <c r="F175" s="81" t="s">
        <v>470</v>
      </c>
      <c r="G175" s="83">
        <v>2006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6" spans="2:9">
      <c r="B176" t="str">
        <f>LocaleTable[[#This Row],['#인덱스제너레이터]]</f>
        <v>Item_Desc_3000</v>
      </c>
      <c r="C176" s="77" t="s">
        <v>524</v>
      </c>
      <c r="D176" s="51" t="s">
        <v>669</v>
      </c>
      <c r="E176" s="81" t="s">
        <v>465</v>
      </c>
      <c r="F176" s="81" t="s">
        <v>470</v>
      </c>
      <c r="G176" s="83">
        <v>3000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7" spans="2:9">
      <c r="B177" t="str">
        <f>LocaleTable[[#This Row],['#인덱스제너레이터]]</f>
        <v>Item_Desc_3001</v>
      </c>
      <c r="C177" s="78" t="s">
        <v>852</v>
      </c>
      <c r="D177" s="77" t="s">
        <v>853</v>
      </c>
      <c r="E177" s="81" t="s">
        <v>465</v>
      </c>
      <c r="F177" s="81" t="s">
        <v>470</v>
      </c>
      <c r="G177" s="83">
        <v>3001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8" spans="2:9">
      <c r="B178" t="str">
        <f>LocaleTable[[#This Row],['#인덱스제너레이터]]</f>
        <v>Item_Desc_3002</v>
      </c>
      <c r="C178" s="52" t="s">
        <v>362</v>
      </c>
      <c r="D178" s="51" t="s">
        <v>784</v>
      </c>
      <c r="E178" s="81" t="s">
        <v>465</v>
      </c>
      <c r="F178" s="81" t="s">
        <v>470</v>
      </c>
      <c r="G178" s="83">
        <v>3002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79" spans="2:9" ht="33">
      <c r="B179" t="str">
        <f>LocaleTable[[#This Row],['#인덱스제너레이터]]</f>
        <v>Item_Desc_3003</v>
      </c>
      <c r="C179" s="52" t="s">
        <v>785</v>
      </c>
      <c r="D179" s="51" t="s">
        <v>670</v>
      </c>
      <c r="E179" s="81" t="s">
        <v>465</v>
      </c>
      <c r="F179" s="81" t="s">
        <v>470</v>
      </c>
      <c r="G179" s="83">
        <v>3003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0" spans="2:9">
      <c r="B180" t="str">
        <f>LocaleTable[[#This Row],['#인덱스제너레이터]]</f>
        <v>Item_Desc_3004</v>
      </c>
      <c r="C180" s="52" t="s">
        <v>225</v>
      </c>
      <c r="D180" s="51" t="s">
        <v>674</v>
      </c>
      <c r="E180" s="81" t="s">
        <v>465</v>
      </c>
      <c r="F180" s="81" t="s">
        <v>470</v>
      </c>
      <c r="G180" s="83">
        <v>3004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1" spans="2:9">
      <c r="B181" t="str">
        <f>LocaleTable[[#This Row],['#인덱스제너레이터]]</f>
        <v>Item_Desc_3005</v>
      </c>
      <c r="C181" s="52" t="s">
        <v>520</v>
      </c>
      <c r="D181" s="51" t="s">
        <v>786</v>
      </c>
      <c r="E181" s="81" t="s">
        <v>465</v>
      </c>
      <c r="F181" s="81" t="s">
        <v>470</v>
      </c>
      <c r="G181" s="83">
        <v>3005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2" spans="2:9">
      <c r="B182" t="str">
        <f>LocaleTable[[#This Row],['#인덱스제너레이터]]</f>
        <v>Item_Desc_3006</v>
      </c>
      <c r="C182" s="52" t="s">
        <v>351</v>
      </c>
      <c r="D182" s="51" t="s">
        <v>787</v>
      </c>
      <c r="E182" s="81" t="s">
        <v>465</v>
      </c>
      <c r="F182" s="81" t="s">
        <v>470</v>
      </c>
      <c r="G182" s="83">
        <v>3006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3" spans="2:9" ht="33">
      <c r="B183" t="str">
        <f>LocaleTable[[#This Row],['#인덱스제너레이터]]</f>
        <v>Item_Desc_3007</v>
      </c>
      <c r="C183" s="52" t="s">
        <v>873</v>
      </c>
      <c r="D183" s="51" t="s">
        <v>874</v>
      </c>
      <c r="E183" s="81" t="s">
        <v>465</v>
      </c>
      <c r="F183" s="81" t="s">
        <v>470</v>
      </c>
      <c r="G183" s="83">
        <v>3007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4" spans="2:9">
      <c r="B184" t="str">
        <f>LocaleTable[[#This Row],['#인덱스제너레이터]]</f>
        <v>Item_Desc_3008</v>
      </c>
      <c r="C184" s="51" t="s">
        <v>226</v>
      </c>
      <c r="D184" s="51" t="s">
        <v>788</v>
      </c>
      <c r="E184" s="81" t="s">
        <v>465</v>
      </c>
      <c r="F184" s="81" t="s">
        <v>470</v>
      </c>
      <c r="G184" s="83">
        <v>3008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5" spans="2:9">
      <c r="B185" t="str">
        <f>LocaleTable[[#This Row],['#인덱스제너레이터]]</f>
        <v>Item_Desc_3009</v>
      </c>
      <c r="C185" s="51" t="s">
        <v>995</v>
      </c>
      <c r="D185" s="51" t="s">
        <v>996</v>
      </c>
      <c r="E185" s="81" t="s">
        <v>465</v>
      </c>
      <c r="F185" s="81" t="s">
        <v>470</v>
      </c>
      <c r="G185" s="83">
        <v>3009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6" spans="2:9">
      <c r="B186" t="str">
        <f>LocaleTable[[#This Row],['#인덱스제너레이터]]</f>
        <v>Item_Desc_3010</v>
      </c>
      <c r="C186" s="51" t="s">
        <v>1003</v>
      </c>
      <c r="D186" s="51" t="s">
        <v>1004</v>
      </c>
      <c r="E186" s="81" t="s">
        <v>465</v>
      </c>
      <c r="F186" s="81" t="s">
        <v>470</v>
      </c>
      <c r="G186" s="83">
        <v>3010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7" spans="2:9">
      <c r="B187" t="str">
        <f>LocaleTable[[#This Row],['#인덱스제너레이터]]</f>
        <v>Item_Desc_4001</v>
      </c>
      <c r="C187" s="51" t="s">
        <v>365</v>
      </c>
      <c r="D187" s="51" t="s">
        <v>789</v>
      </c>
      <c r="E187" s="81" t="s">
        <v>465</v>
      </c>
      <c r="F187" s="81" t="s">
        <v>470</v>
      </c>
      <c r="G187" s="83">
        <v>4001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8" spans="2:9" ht="33">
      <c r="B188" t="str">
        <f>LocaleTable[[#This Row],['#인덱스제너레이터]]</f>
        <v>Item_Desc_4002</v>
      </c>
      <c r="C188" s="52" t="s">
        <v>847</v>
      </c>
      <c r="D188" s="51" t="s">
        <v>848</v>
      </c>
      <c r="E188" s="81" t="s">
        <v>465</v>
      </c>
      <c r="F188" s="81" t="s">
        <v>470</v>
      </c>
      <c r="G188" s="83">
        <v>4002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89" spans="2:9">
      <c r="B189" t="str">
        <f>LocaleTable[[#This Row],['#인덱스제너레이터]]</f>
        <v>Item_Desc_4003</v>
      </c>
      <c r="C189" s="51" t="s">
        <v>1026</v>
      </c>
      <c r="D189" s="51" t="s">
        <v>1025</v>
      </c>
      <c r="E189" s="81" t="s">
        <v>465</v>
      </c>
      <c r="F189" s="81" t="s">
        <v>470</v>
      </c>
      <c r="G189" s="83">
        <v>4003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0" spans="2:9">
      <c r="B190" t="str">
        <f>LocaleTable[[#This Row],['#인덱스제너레이터]]</f>
        <v>Item_Desc_4004</v>
      </c>
      <c r="C190" s="51" t="s">
        <v>228</v>
      </c>
      <c r="D190" s="51" t="s">
        <v>526</v>
      </c>
      <c r="E190" s="81" t="s">
        <v>465</v>
      </c>
      <c r="F190" s="81" t="s">
        <v>470</v>
      </c>
      <c r="G190" s="83">
        <v>4004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1" spans="2:9">
      <c r="B191" t="str">
        <f>LocaleTable[[#This Row],['#인덱스제너레이터]]</f>
        <v>Item_Desc_4005</v>
      </c>
      <c r="C191" s="51" t="s">
        <v>728</v>
      </c>
      <c r="D191" s="51" t="s">
        <v>671</v>
      </c>
      <c r="E191" s="81" t="s">
        <v>465</v>
      </c>
      <c r="F191" s="81" t="s">
        <v>470</v>
      </c>
      <c r="G191" s="83">
        <v>4005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2" spans="2:9">
      <c r="B192" t="str">
        <f>LocaleTable[[#This Row],['#인덱스제너레이터]]</f>
        <v>Item_Desc_4006</v>
      </c>
      <c r="C192" s="51" t="s">
        <v>790</v>
      </c>
      <c r="D192" s="51" t="s">
        <v>527</v>
      </c>
      <c r="E192" s="81" t="s">
        <v>465</v>
      </c>
      <c r="F192" s="81" t="s">
        <v>470</v>
      </c>
      <c r="G192" s="83">
        <v>4006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3" spans="2:9">
      <c r="B193" t="str">
        <f>LocaleTable[[#This Row],['#인덱스제너레이터]]</f>
        <v>Item_Desc_4007</v>
      </c>
      <c r="C193" s="78" t="s">
        <v>877</v>
      </c>
      <c r="D193" s="77" t="s">
        <v>878</v>
      </c>
      <c r="E193" s="81" t="s">
        <v>465</v>
      </c>
      <c r="F193" s="81" t="s">
        <v>470</v>
      </c>
      <c r="G193" s="83">
        <v>4007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4" spans="2:9">
      <c r="B194" t="str">
        <f>LocaleTable[[#This Row],['#인덱스제너레이터]]</f>
        <v>Item_Desc_10000</v>
      </c>
      <c r="C194" s="51" t="s">
        <v>792</v>
      </c>
      <c r="D194" s="51" t="s">
        <v>672</v>
      </c>
      <c r="E194" s="81" t="s">
        <v>465</v>
      </c>
      <c r="F194" s="81" t="s">
        <v>470</v>
      </c>
      <c r="G194" s="83">
        <v>10000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5" spans="2:9">
      <c r="B195" t="str">
        <f>LocaleTable[[#This Row],['#인덱스제너레이터]]</f>
        <v>Item_Desc_10001</v>
      </c>
      <c r="C195" s="52" t="s">
        <v>363</v>
      </c>
      <c r="D195" s="51" t="s">
        <v>528</v>
      </c>
      <c r="E195" s="81" t="s">
        <v>465</v>
      </c>
      <c r="F195" s="81" t="s">
        <v>470</v>
      </c>
      <c r="G195" s="83">
        <v>10001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6" spans="2:9">
      <c r="B196" t="str">
        <f>LocaleTable[[#This Row],['#인덱스제너레이터]]</f>
        <v>Item_Desc_10002</v>
      </c>
      <c r="C196" s="52" t="s">
        <v>791</v>
      </c>
      <c r="D196" s="77" t="s">
        <v>673</v>
      </c>
      <c r="E196" s="81" t="s">
        <v>465</v>
      </c>
      <c r="F196" s="81" t="s">
        <v>470</v>
      </c>
      <c r="G196" s="83">
        <v>10002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7" spans="2:9">
      <c r="B197" t="str">
        <f>LocaleTable[[#This Row],['#인덱스제너레이터]]</f>
        <v>Item_Desc_10003</v>
      </c>
      <c r="C197" s="52" t="s">
        <v>360</v>
      </c>
      <c r="D197" s="51" t="s">
        <v>726</v>
      </c>
      <c r="E197" s="81" t="s">
        <v>465</v>
      </c>
      <c r="F197" s="81" t="s">
        <v>470</v>
      </c>
      <c r="G197" s="83">
        <v>10003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8" spans="2:9">
      <c r="B198" t="str">
        <f>LocaleTable[[#This Row],['#인덱스제너레이터]]</f>
        <v>Item_Desc_10004</v>
      </c>
      <c r="C198" s="51" t="s">
        <v>429</v>
      </c>
      <c r="D198" s="51" t="s">
        <v>534</v>
      </c>
      <c r="E198" s="81" t="s">
        <v>465</v>
      </c>
      <c r="F198" s="81" t="s">
        <v>470</v>
      </c>
      <c r="G198" s="83">
        <v>10004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99" spans="2:9">
      <c r="B199" t="str">
        <f>LocaleTable[[#This Row],['#인덱스제너레이터]]</f>
        <v>Item_Desc_10005</v>
      </c>
      <c r="C199" s="51" t="s">
        <v>433</v>
      </c>
      <c r="D199" s="51" t="s">
        <v>535</v>
      </c>
      <c r="E199" s="81" t="s">
        <v>465</v>
      </c>
      <c r="F199" s="81" t="s">
        <v>470</v>
      </c>
      <c r="G199" s="83">
        <v>10005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0" spans="2:9">
      <c r="B200" t="str">
        <f>LocaleTable[[#This Row],['#인덱스제너레이터]]</f>
        <v>Item_PlusDesc_2000</v>
      </c>
      <c r="C200" s="52" t="s">
        <v>390</v>
      </c>
      <c r="D200" s="51" t="s">
        <v>536</v>
      </c>
      <c r="E200" s="81" t="s">
        <v>465</v>
      </c>
      <c r="F200" s="81" t="s">
        <v>342</v>
      </c>
      <c r="G200" s="83">
        <v>2000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1" spans="2:9">
      <c r="B201" t="str">
        <f>LocaleTable[[#This Row],['#인덱스제너레이터]]</f>
        <v>Item_PlusDesc_2001</v>
      </c>
      <c r="C201" s="51" t="s">
        <v>708</v>
      </c>
      <c r="D201" s="51" t="s">
        <v>712</v>
      </c>
      <c r="E201" s="81" t="s">
        <v>465</v>
      </c>
      <c r="F201" s="81" t="s">
        <v>342</v>
      </c>
      <c r="G201" s="83">
        <v>2001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2" spans="2:9">
      <c r="B202" t="str">
        <f>LocaleTable[[#This Row],['#인덱스제너레이터]]</f>
        <v>Item_PlusDesc_2002</v>
      </c>
      <c r="C202" s="51" t="s">
        <v>709</v>
      </c>
      <c r="D202" s="51" t="s">
        <v>711</v>
      </c>
      <c r="E202" s="81" t="s">
        <v>465</v>
      </c>
      <c r="F202" s="81" t="s">
        <v>342</v>
      </c>
      <c r="G202" s="83">
        <v>2002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3" spans="2:9">
      <c r="B203" t="str">
        <f>LocaleTable[[#This Row],['#인덱스제너레이터]]</f>
        <v>Item_PlusDesc_2003</v>
      </c>
      <c r="C203" s="51" t="s">
        <v>1069</v>
      </c>
      <c r="D203" s="51" t="s">
        <v>1071</v>
      </c>
      <c r="E203" s="81" t="s">
        <v>465</v>
      </c>
      <c r="F203" s="81" t="s">
        <v>342</v>
      </c>
      <c r="G203" s="83">
        <v>2003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4" spans="2:9">
      <c r="B204" t="str">
        <f>LocaleTable[[#This Row],['#인덱스제너레이터]]</f>
        <v>Item_PlusDesc_2004</v>
      </c>
      <c r="C204" s="51" t="s">
        <v>1070</v>
      </c>
      <c r="D204" s="51" t="s">
        <v>1072</v>
      </c>
      <c r="E204" s="81" t="s">
        <v>465</v>
      </c>
      <c r="F204" s="81" t="s">
        <v>342</v>
      </c>
      <c r="G204" s="83">
        <v>2004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5" spans="2:9">
      <c r="B205" t="str">
        <f>LocaleTable[[#This Row],['#인덱스제너레이터]]</f>
        <v>Item_PlusDesc_2005</v>
      </c>
      <c r="C205" s="71" t="s">
        <v>723</v>
      </c>
      <c r="D205" s="51" t="s">
        <v>856</v>
      </c>
      <c r="E205" s="81" t="s">
        <v>465</v>
      </c>
      <c r="F205" s="81" t="s">
        <v>342</v>
      </c>
      <c r="G205" s="83">
        <v>2005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6" spans="2:9">
      <c r="B206" t="str">
        <f>LocaleTable[[#This Row],['#인덱스제너레이터]]</f>
        <v>Item_PlusDesc_2006</v>
      </c>
      <c r="C206" s="52" t="s">
        <v>988</v>
      </c>
      <c r="D206" s="51" t="s">
        <v>989</v>
      </c>
      <c r="E206" s="81" t="s">
        <v>465</v>
      </c>
      <c r="F206" s="81" t="s">
        <v>342</v>
      </c>
      <c r="G206" s="83">
        <v>2006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7" spans="2:9">
      <c r="B207" t="str">
        <f>LocaleTable[[#This Row],['#인덱스제너레이터]]</f>
        <v>Item_PlusDesc_3000</v>
      </c>
      <c r="C207" s="77" t="s">
        <v>979</v>
      </c>
      <c r="D207" s="51" t="s">
        <v>980</v>
      </c>
      <c r="E207" s="81" t="s">
        <v>465</v>
      </c>
      <c r="F207" s="81" t="s">
        <v>342</v>
      </c>
      <c r="G207" s="83">
        <v>3000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8" spans="2:9">
      <c r="B208" t="str">
        <f>LocaleTable[[#This Row],['#인덱스제너레이터]]</f>
        <v>Item_PlusDesc_3001</v>
      </c>
      <c r="C208" s="51" t="s">
        <v>1013</v>
      </c>
      <c r="D208" s="51" t="s">
        <v>612</v>
      </c>
      <c r="E208" s="81" t="s">
        <v>465</v>
      </c>
      <c r="F208" s="81" t="s">
        <v>342</v>
      </c>
      <c r="G208" s="83">
        <v>3001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09" spans="2:9">
      <c r="B209" t="str">
        <f>LocaleTable[[#This Row],['#인덱스제너레이터]]</f>
        <v>Item_PlusDesc_3002</v>
      </c>
      <c r="C209" s="51" t="s">
        <v>1163</v>
      </c>
      <c r="D209" s="51" t="s">
        <v>1164</v>
      </c>
      <c r="E209" s="81" t="s">
        <v>465</v>
      </c>
      <c r="F209" s="81" t="s">
        <v>342</v>
      </c>
      <c r="G209" s="83">
        <v>3002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0" spans="2:9">
      <c r="B210" t="str">
        <f>LocaleTable[[#This Row],['#인덱스제너레이터]]</f>
        <v>Item_PlusDesc_3003</v>
      </c>
      <c r="C210" s="51" t="s">
        <v>879</v>
      </c>
      <c r="D210" s="51" t="s">
        <v>880</v>
      </c>
      <c r="E210" s="81" t="s">
        <v>465</v>
      </c>
      <c r="F210" s="81" t="s">
        <v>342</v>
      </c>
      <c r="G210" s="83">
        <v>3003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1" spans="2:9">
      <c r="B211" t="str">
        <f>LocaleTable[[#This Row],['#인덱스제너레이터]]</f>
        <v>Item_PlusDesc_3004</v>
      </c>
      <c r="C211" s="51" t="s">
        <v>367</v>
      </c>
      <c r="D211" s="51" t="s">
        <v>725</v>
      </c>
      <c r="E211" s="81" t="s">
        <v>465</v>
      </c>
      <c r="F211" s="81" t="s">
        <v>342</v>
      </c>
      <c r="G211" s="83">
        <v>3004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2" spans="2:9">
      <c r="B212" t="str">
        <f>LocaleTable[[#This Row],['#인덱스제너레이터]]</f>
        <v>Item_PlusDesc_3005</v>
      </c>
      <c r="C212" s="58" t="s">
        <v>1073</v>
      </c>
      <c r="D212" s="51" t="s">
        <v>1074</v>
      </c>
      <c r="E212" s="81" t="s">
        <v>465</v>
      </c>
      <c r="F212" s="81" t="s">
        <v>342</v>
      </c>
      <c r="G212" s="83">
        <v>3005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3" spans="2:9">
      <c r="B213" t="str">
        <f>LocaleTable[[#This Row],['#인덱스제너레이터]]</f>
        <v>Item_PlusDesc_3006</v>
      </c>
      <c r="C213" s="52" t="s">
        <v>966</v>
      </c>
      <c r="D213" s="51" t="s">
        <v>967</v>
      </c>
      <c r="E213" s="81" t="s">
        <v>465</v>
      </c>
      <c r="F213" s="81" t="s">
        <v>342</v>
      </c>
      <c r="G213" s="83">
        <v>3006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4" spans="2:9">
      <c r="B214" t="str">
        <f>LocaleTable[[#This Row],['#인덱스제너레이터]]</f>
        <v>Item_PlusDesc_3007</v>
      </c>
      <c r="C214" s="52" t="s">
        <v>1011</v>
      </c>
      <c r="D214" s="51" t="s">
        <v>1012</v>
      </c>
      <c r="E214" s="81" t="s">
        <v>465</v>
      </c>
      <c r="F214" s="81" t="s">
        <v>342</v>
      </c>
      <c r="G214" s="83">
        <v>3007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5" spans="2:9">
      <c r="B215" t="str">
        <f>LocaleTable[[#This Row],['#인덱스제너레이터]]</f>
        <v>Item_PlusDesc_3008</v>
      </c>
      <c r="C215" s="51" t="s">
        <v>981</v>
      </c>
      <c r="D215" s="51" t="s">
        <v>982</v>
      </c>
      <c r="E215" s="81" t="s">
        <v>465</v>
      </c>
      <c r="F215" s="81" t="s">
        <v>342</v>
      </c>
      <c r="G215" s="83">
        <v>3008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6" spans="2:9">
      <c r="B216" t="str">
        <f>LocaleTable[[#This Row],['#인덱스제너레이터]]</f>
        <v>Item_PlusDesc_3009</v>
      </c>
      <c r="C216" s="51" t="s">
        <v>997</v>
      </c>
      <c r="D216" s="51" t="s">
        <v>998</v>
      </c>
      <c r="E216" s="81" t="s">
        <v>465</v>
      </c>
      <c r="F216" s="81" t="s">
        <v>342</v>
      </c>
      <c r="G216" s="83">
        <v>3009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7" spans="2:9">
      <c r="B217" t="str">
        <f>LocaleTable[[#This Row],['#인덱스제너레이터]]</f>
        <v>Item_PlusDesc_3010</v>
      </c>
      <c r="C217" s="51" t="s">
        <v>1014</v>
      </c>
      <c r="D217" s="51" t="s">
        <v>1015</v>
      </c>
      <c r="E217" s="81" t="s">
        <v>465</v>
      </c>
      <c r="F217" s="81" t="s">
        <v>342</v>
      </c>
      <c r="G217" s="83">
        <v>3010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8" spans="2:9">
      <c r="B218" t="str">
        <f>LocaleTable[[#This Row],['#인덱스제너레이터]]</f>
        <v>Item_PlusDesc_4001</v>
      </c>
      <c r="C218" s="51" t="s">
        <v>710</v>
      </c>
      <c r="D218" s="51" t="s">
        <v>727</v>
      </c>
      <c r="E218" s="81" t="s">
        <v>465</v>
      </c>
      <c r="F218" s="81" t="s">
        <v>342</v>
      </c>
      <c r="G218" s="83">
        <v>4001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19" spans="2:9">
      <c r="B219" t="str">
        <f>LocaleTable[[#This Row],['#인덱스제너레이터]]</f>
        <v>Item_PlusDesc_4002</v>
      </c>
      <c r="C219" s="51" t="s">
        <v>289</v>
      </c>
      <c r="D219" s="51" t="s">
        <v>537</v>
      </c>
      <c r="E219" s="81" t="s">
        <v>465</v>
      </c>
      <c r="F219" s="81" t="s">
        <v>342</v>
      </c>
      <c r="G219" s="83">
        <v>4002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0" spans="2:9">
      <c r="B220" t="str">
        <f>LocaleTable[[#This Row],['#인덱스제너레이터]]</f>
        <v>Item_PlusDesc_4003</v>
      </c>
      <c r="C220" s="51" t="s">
        <v>370</v>
      </c>
      <c r="D220" s="51" t="s">
        <v>538</v>
      </c>
      <c r="E220" s="81" t="s">
        <v>465</v>
      </c>
      <c r="F220" s="81" t="s">
        <v>342</v>
      </c>
      <c r="G220" s="83">
        <v>4003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1" spans="2:9">
      <c r="B221" t="str">
        <f>LocaleTable[[#This Row],['#인덱스제너레이터]]</f>
        <v>Item_PlusDesc_4004</v>
      </c>
      <c r="C221" s="51" t="s">
        <v>976</v>
      </c>
      <c r="D221" s="51" t="s">
        <v>977</v>
      </c>
      <c r="E221" s="81" t="s">
        <v>465</v>
      </c>
      <c r="F221" s="81" t="s">
        <v>342</v>
      </c>
      <c r="G221" s="83">
        <v>4004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2" spans="2:9">
      <c r="B222" t="str">
        <f>LocaleTable[[#This Row],['#인덱스제너레이터]]</f>
        <v>Item_PlusDesc_4005</v>
      </c>
      <c r="C222" s="51" t="s">
        <v>388</v>
      </c>
      <c r="D222" s="51" t="s">
        <v>729</v>
      </c>
      <c r="E222" s="81" t="s">
        <v>465</v>
      </c>
      <c r="F222" s="81" t="s">
        <v>342</v>
      </c>
      <c r="G222" s="83">
        <v>4005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3" spans="2:9">
      <c r="B223" t="str">
        <f>LocaleTable[[#This Row],['#인덱스제너레이터]]</f>
        <v>Item_PlusDesc_4006</v>
      </c>
      <c r="C223" s="51" t="s">
        <v>974</v>
      </c>
      <c r="D223" s="51" t="s">
        <v>975</v>
      </c>
      <c r="E223" s="81" t="s">
        <v>465</v>
      </c>
      <c r="F223" s="81" t="s">
        <v>342</v>
      </c>
      <c r="G223" s="83">
        <v>4006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4" spans="2:9">
      <c r="B224" t="str">
        <f>LocaleTable[[#This Row],['#인덱스제너레이터]]</f>
        <v>Item_PlusDesc_4007</v>
      </c>
      <c r="C224" s="51" t="s">
        <v>1156</v>
      </c>
      <c r="D224" s="51" t="s">
        <v>1157</v>
      </c>
      <c r="E224" s="81" t="s">
        <v>465</v>
      </c>
      <c r="F224" s="81" t="s">
        <v>342</v>
      </c>
      <c r="G224" s="83">
        <v>4007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5" spans="2:9">
      <c r="B225" t="str">
        <f>LocaleTable[[#This Row],['#인덱스제너레이터]]</f>
        <v>Item_PlusDesc_10000</v>
      </c>
      <c r="C225" s="52" t="s">
        <v>890</v>
      </c>
      <c r="D225" s="51" t="s">
        <v>889</v>
      </c>
      <c r="E225" s="81" t="s">
        <v>465</v>
      </c>
      <c r="F225" s="81" t="s">
        <v>342</v>
      </c>
      <c r="G225" s="83">
        <v>10000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6" spans="2:9">
      <c r="B226" t="str">
        <f>LocaleTable[[#This Row],['#인덱스제너레이터]]</f>
        <v>Item_PlusDesc_10001</v>
      </c>
      <c r="C226" s="52" t="s">
        <v>886</v>
      </c>
      <c r="D226" s="51" t="s">
        <v>882</v>
      </c>
      <c r="E226" s="81" t="s">
        <v>465</v>
      </c>
      <c r="F226" s="81" t="s">
        <v>342</v>
      </c>
      <c r="G226" s="83">
        <v>10001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7" spans="2:9">
      <c r="B227" t="str">
        <f>LocaleTable[[#This Row],['#인덱스제너레이터]]</f>
        <v>Item_PlusDesc_10002</v>
      </c>
      <c r="C227" s="52" t="s">
        <v>887</v>
      </c>
      <c r="D227" s="51" t="s">
        <v>883</v>
      </c>
      <c r="E227" s="81" t="s">
        <v>465</v>
      </c>
      <c r="F227" s="81" t="s">
        <v>342</v>
      </c>
      <c r="G227" s="83">
        <v>10002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8" spans="2:9">
      <c r="B228" t="str">
        <f>LocaleTable[[#This Row],['#인덱스제너레이터]]</f>
        <v>Item_PlusDesc_10003</v>
      </c>
      <c r="C228" s="52" t="s">
        <v>454</v>
      </c>
      <c r="D228" s="51" t="s">
        <v>884</v>
      </c>
      <c r="E228" s="81" t="s">
        <v>465</v>
      </c>
      <c r="F228" s="81" t="s">
        <v>342</v>
      </c>
      <c r="G228" s="83">
        <v>10003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29" spans="2:9">
      <c r="B229" t="str">
        <f>LocaleTable[[#This Row],['#인덱스제너레이터]]</f>
        <v>Item_PlusDesc_10004</v>
      </c>
      <c r="C229" s="51" t="s">
        <v>891</v>
      </c>
      <c r="D229" s="51" t="s">
        <v>888</v>
      </c>
      <c r="E229" s="81" t="s">
        <v>465</v>
      </c>
      <c r="F229" s="81" t="s">
        <v>342</v>
      </c>
      <c r="G229" s="83">
        <v>10004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0" spans="2:9">
      <c r="B230" t="str">
        <f>LocaleTable[[#This Row],['#인덱스제너레이터]]</f>
        <v>Item_PlusDesc_10005</v>
      </c>
      <c r="C230" s="51" t="s">
        <v>455</v>
      </c>
      <c r="D230" s="51" t="s">
        <v>885</v>
      </c>
      <c r="E230" s="81" t="s">
        <v>465</v>
      </c>
      <c r="F230" s="81" t="s">
        <v>342</v>
      </c>
      <c r="G230" s="83">
        <v>10005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1" spans="2:9">
      <c r="B231" t="str">
        <f>LocaleTable[[#This Row],['#인덱스제너레이터]]</f>
        <v>Item_MinusDesc_4001</v>
      </c>
      <c r="C231" s="51" t="s">
        <v>364</v>
      </c>
      <c r="D231" s="58" t="s">
        <v>539</v>
      </c>
      <c r="E231" s="81" t="s">
        <v>465</v>
      </c>
      <c r="F231" s="81" t="s">
        <v>343</v>
      </c>
      <c r="G231" s="83">
        <v>4001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2" spans="2:9">
      <c r="B232" t="str">
        <f>LocaleTable[[#This Row],['#인덱스제너레이터]]</f>
        <v>Item_MinusDesc_4002</v>
      </c>
      <c r="C232" s="51" t="s">
        <v>146</v>
      </c>
      <c r="D232" s="51" t="s">
        <v>540</v>
      </c>
      <c r="E232" s="81" t="s">
        <v>465</v>
      </c>
      <c r="F232" s="81" t="s">
        <v>343</v>
      </c>
      <c r="G232" s="83">
        <v>4002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3" spans="2:9">
      <c r="B233" t="str">
        <f>LocaleTable[[#This Row],['#인덱스제너레이터]]</f>
        <v>Item_MinusDesc_4003</v>
      </c>
      <c r="C233" s="51" t="s">
        <v>724</v>
      </c>
      <c r="D233" s="51" t="s">
        <v>857</v>
      </c>
      <c r="E233" s="81" t="s">
        <v>465</v>
      </c>
      <c r="F233" s="81" t="s">
        <v>343</v>
      </c>
      <c r="G233" s="83">
        <v>4003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4" spans="2:9">
      <c r="B234" t="str">
        <f>LocaleTable[[#This Row],['#인덱스제너레이터]]</f>
        <v>Item_MinusDesc_4004</v>
      </c>
      <c r="C234" s="51" t="s">
        <v>821</v>
      </c>
      <c r="D234" s="51" t="s">
        <v>822</v>
      </c>
      <c r="E234" s="81" t="s">
        <v>465</v>
      </c>
      <c r="F234" s="81" t="s">
        <v>343</v>
      </c>
      <c r="G234" s="83">
        <v>4004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5" spans="2:9">
      <c r="B235" t="str">
        <f>LocaleTable[[#This Row],['#인덱스제너레이터]]</f>
        <v>Item_MinusDesc_4005</v>
      </c>
      <c r="C235" s="51" t="s">
        <v>1166</v>
      </c>
      <c r="D235" s="51" t="s">
        <v>1167</v>
      </c>
      <c r="E235" s="81" t="s">
        <v>465</v>
      </c>
      <c r="F235" s="81" t="s">
        <v>343</v>
      </c>
      <c r="G235" s="83">
        <v>4005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6" spans="2:9">
      <c r="B236" t="str">
        <f>LocaleTable[[#This Row],['#인덱스제너레이터]]</f>
        <v>Item_MinusDesc_4006</v>
      </c>
      <c r="C236" s="51" t="s">
        <v>971</v>
      </c>
      <c r="D236" s="51" t="s">
        <v>972</v>
      </c>
      <c r="E236" s="81" t="s">
        <v>465</v>
      </c>
      <c r="F236" s="81" t="s">
        <v>343</v>
      </c>
      <c r="G236" s="83">
        <v>4006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7" spans="2:9">
      <c r="B237" t="str">
        <f>LocaleTable[[#This Row],['#인덱스제너레이터]]</f>
        <v>Item_MinusDesc_4007</v>
      </c>
      <c r="C237" s="51"/>
      <c r="D237" s="51"/>
      <c r="E237" s="81" t="s">
        <v>465</v>
      </c>
      <c r="F237" s="81" t="s">
        <v>343</v>
      </c>
      <c r="G237" s="83">
        <v>4007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2023-12-06T23:33:05Z</dcterms:modified>
  <cp:version>1200.0100.01</cp:version>
</cp:coreProperties>
</file>