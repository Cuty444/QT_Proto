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2C465CB1-C8D6-405F-B4CB-9EC90869DA4E}" xr6:coauthVersionLast="47" xr6:coauthVersionMax="47" xr10:uidLastSave="{00000000-0000-0000-0000-000000000000}"/>
  <bookViews>
    <workbookView xWindow="0" yWindow="1290" windowWidth="30870" windowHeight="15345" activeTab="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 s="1"/>
  <c r="P32" i="2" s="1"/>
  <c r="P33" i="2" s="1"/>
  <c r="P34" i="2" s="1"/>
  <c r="P35" i="2" s="1"/>
  <c r="P36" i="2" s="1"/>
  <c r="P37" i="2" s="1"/>
  <c r="P38" i="2" s="1"/>
  <c r="K31" i="2"/>
  <c r="M30" i="2"/>
  <c r="M31" i="2"/>
  <c r="M32" i="2"/>
  <c r="M29" i="2"/>
  <c r="M33" i="2" s="1"/>
  <c r="N19" i="9"/>
  <c r="N20" i="9"/>
  <c r="N5" i="9"/>
  <c r="N6" i="9"/>
  <c r="N7" i="9"/>
  <c r="N8" i="9"/>
  <c r="N9" i="9"/>
  <c r="N12" i="9"/>
  <c r="N13" i="9"/>
  <c r="N14" i="9"/>
  <c r="I19" i="16"/>
  <c r="B19" i="16" s="1"/>
  <c r="I14" i="10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E22" i="9"/>
  <c r="E21" i="9"/>
  <c r="E20" i="9"/>
  <c r="E19" i="9"/>
  <c r="K13" i="2"/>
  <c r="M20" i="2" s="1"/>
  <c r="N20" i="2" s="1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K14" i="2"/>
  <c r="K21" i="2" s="1"/>
  <c r="L21" i="2" s="1"/>
  <c r="K15" i="2"/>
  <c r="O22" i="2" s="1"/>
  <c r="P22" i="2" s="1"/>
  <c r="M21" i="2" l="1"/>
  <c r="N21" i="2" s="1"/>
  <c r="O21" i="2"/>
  <c r="P21" i="2" s="1"/>
  <c r="Q21" i="2" s="1"/>
  <c r="O20" i="2"/>
  <c r="P20" i="2" s="1"/>
  <c r="L32" i="19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5" i="2" l="1"/>
  <c r="P14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Bang</author>
  </authors>
  <commentList>
    <comment ref="K31" authorId="0" shapeId="0" xr:uid="{B9A7D8AE-B76B-497A-B433-ED7D86DDE95B}">
      <text>
        <r>
          <rPr>
            <b/>
            <sz val="9"/>
            <color indexed="81"/>
            <rFont val="돋움"/>
            <family val="3"/>
            <charset val="129"/>
          </rPr>
          <t>기본템</t>
        </r>
        <r>
          <rPr>
            <b/>
            <sz val="9"/>
            <color indexed="81"/>
            <rFont val="Tahoma"/>
            <family val="2"/>
          </rPr>
          <t xml:space="preserve"> 30
</t>
        </r>
        <r>
          <rPr>
            <b/>
            <sz val="9"/>
            <color indexed="81"/>
            <rFont val="돋움"/>
            <family val="3"/>
            <charset val="129"/>
          </rPr>
          <t>희귀템</t>
        </r>
        <r>
          <rPr>
            <b/>
            <sz val="9"/>
            <color indexed="81"/>
            <rFont val="Tahoma"/>
            <family val="2"/>
          </rPr>
          <t xml:space="preserve"> 50
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</text>
    </comment>
    <comment ref="K32" authorId="0" shapeId="0" xr:uid="{C129A040-53A4-4C8E-83B0-010F6741EE93}">
      <text>
        <r>
          <rPr>
            <sz val="9"/>
            <color indexed="81"/>
            <rFont val="돋움"/>
            <family val="3"/>
            <charset val="129"/>
          </rPr>
          <t>삼각김곰이</t>
        </r>
        <r>
          <rPr>
            <sz val="9"/>
            <color indexed="81"/>
            <rFont val="Tahoma"/>
            <family val="2"/>
          </rPr>
          <t xml:space="preserve"> 30</t>
        </r>
        <r>
          <rPr>
            <sz val="9"/>
            <color indexed="81"/>
            <rFont val="돋움"/>
            <family val="3"/>
            <charset val="129"/>
          </rPr>
          <t>골드이므로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<sst xmlns="http://schemas.openxmlformats.org/spreadsheetml/2006/main" count="2828" uniqueCount="1178">
  <si>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</si>
  <si>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</si>
  <si>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</si>
  <si>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</si>
  <si>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</si>
  <si>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</si>
  <si>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</si>
  <si>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</si>
  <si>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</si>
  <si>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</si>
  <si>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</si>
  <si>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</si>
  <si>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</si>
  <si>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</si>
  <si>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</si>
  <si>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</si>
  <si>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</si>
  <si>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</si>
  <si>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</si>
  <si>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</si>
  <si>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</si>
  <si>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</si>
  <si>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</si>
  <si>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</si>
  <si>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</si>
  <si>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</si>
  <si>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</si>
  <si>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</si>
  <si>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</si>
  <si>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</si>
  <si>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</si>
  <si>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</si>
  <si>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</si>
  <si>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</si>
  <si>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</si>
  <si>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</si>
  <si>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</si>
  <si>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</si>
  <si>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</si>
  <si>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</si>
  <si>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</si>
  <si>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</si>
  <si>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</si>
  <si>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</si>
  <si>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</si>
  <si>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</si>
  <si>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</si>
  <si>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</si>
  <si>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</si>
  <si>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</si>
  <si>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</si>
  <si>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</si>
  <si>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</si>
  <si>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</si>
  <si>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</si>
  <si>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</si>
  <si>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</si>
  <si>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</si>
  <si>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</si>
  <si>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</si>
  <si>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</si>
  <si>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</si>
  <si>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</si>
  <si>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</si>
  <si>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</si>
  <si>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</si>
  <si>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</si>
  <si>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</si>
  <si>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</si>
  <si>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</si>
  <si>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</si>
  <si>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</si>
  <si>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</si>
  <si>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</si>
  <si>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</si>
  <si>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</si>
  <si>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</si>
  <si>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</si>
  <si>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</si>
  <si>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</si>
  <si>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</si>
  <si>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</si>
  <si>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</si>
  <si>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</si>
  <si>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</si>
  <si>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</si>
  <si>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</si>
  <si>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</si>
  <si>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</si>
  <si>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</si>
  <si>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</si>
  <si>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</si>
  <si>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</si>
  <si>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</si>
  <si>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</si>
  <si>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</si>
  <si>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</si>
  <si>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</si>
  <si>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</si>
  <si>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</si>
  <si>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</si>
  <si>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</si>
  <si>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</si>
  <si>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</si>
  <si>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</si>
  <si>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</si>
  <si>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</si>
  <si>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</si>
  <si>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</si>
  <si>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</si>
  <si>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</si>
  <si>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</si>
  <si>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</si>
  <si>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</si>
  <si>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</si>
  <si>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</si>
  <si>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</si>
  <si>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</si>
  <si>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</si>
  <si>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</si>
  <si>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</si>
  <si>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</si>
  <si>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</si>
  <si>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</si>
  <si>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</si>
  <si>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</si>
  <si>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</si>
  <si>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</si>
  <si>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</si>
  <si>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</si>
  <si>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</si>
  <si>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</si>
  <si>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</si>
  <si>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</si>
  <si>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</si>
  <si>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</si>
  <si>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</si>
  <si>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</si>
  <si>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</si>
  <si>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</si>
  <si>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</si>
  <si>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</si>
  <si>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</si>
  <si>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</si>
  <si>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</si>
  <si>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</si>
  <si>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</si>
  <si>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</si>
  <si>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</si>
  <si>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</si>
  <si>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</si>
  <si>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</si>
  <si>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</si>
  <si>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</si>
  <si>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</si>
  <si>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</si>
  <si>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</si>
  <si>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</si>
  <si>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</si>
  <si>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</si>
  <si>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</si>
  <si>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</si>
  <si>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</si>
  <si>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</si>
  <si>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</si>
  <si>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</si>
  <si>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</si>
  <si>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</si>
  <si>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</si>
  <si>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</si>
  <si>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</si>
  <si>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</si>
  <si>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</si>
  <si>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</si>
  <si>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</si>
  <si>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</si>
  <si>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</si>
  <si>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</si>
  <si>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</si>
  <si>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</si>
  <si>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</si>
  <si>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</si>
  <si>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</si>
  <si>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</si>
  <si>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</si>
  <si>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</si>
  <si>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</si>
  <si>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</si>
  <si>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</si>
  <si>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</si>
  <si>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</si>
  <si>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</si>
  <si>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</si>
  <si>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</si>
  <si>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</si>
  <si>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</si>
  <si>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</si>
  <si>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</si>
  <si>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</si>
  <si>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</si>
  <si>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</si>
  <si>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</si>
  <si>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</si>
  <si>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</si>
  <si>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</si>
  <si>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</si>
  <si>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</si>
  <si>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</si>
  <si>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</si>
  <si>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</si>
  <si>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</si>
  <si>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</si>
  <si>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</si>
  <si>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</si>
  <si>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</si>
  <si>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</si>
  <si>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</si>
  <si>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</si>
  <si>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</si>
  <si>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</si>
  <si>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</si>
  <si>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</si>
  <si>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</si>
  <si>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</si>
  <si>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</si>
  <si>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</si>
  <si>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</si>
  <si>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</si>
  <si>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</si>
  <si>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</si>
  <si>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</si>
  <si>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</si>
  <si>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</si>
  <si>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</si>
  <si>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</si>
  <si>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</si>
  <si>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</si>
  <si>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</si>
  <si>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</si>
  <si>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</si>
  <si>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</si>
  <si>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</si>
  <si>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</si>
  <si>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</si>
  <si>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</si>
  <si>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</si>
  <si>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</si>
  <si>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</si>
  <si>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</si>
  <si>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</si>
  <si>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</si>
  <si>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</si>
  <si>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</si>
  <si>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</si>
  <si>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</si>
  <si>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</si>
  <si>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</si>
  <si>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</si>
  <si>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</si>
  <si>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</si>
  <si>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</si>
  <si>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</si>
  <si>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</si>
  <si>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</si>
  <si>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</si>
  <si>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</si>
  <si>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</si>
  <si>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</si>
  <si>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</si>
  <si>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</si>
  <si>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</si>
  <si>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</si>
  <si>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</si>
  <si>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</si>
  <si>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</si>
  <si>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</si>
  <si>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</si>
  <si>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</si>
  <si>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</si>
  <si>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</si>
  <si>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</si>
  <si>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</si>
  <si>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</si>
  <si>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</si>
  <si>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</si>
  <si>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</si>
  <si>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</si>
  <si>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</si>
  <si>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</si>
  <si>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</si>
  <si>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</si>
  <si>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</si>
  <si>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</si>
  <si>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</si>
  <si>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</si>
  <si>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</si>
  <si>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</si>
  <si>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</si>
  <si>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</si>
  <si>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</si>
  <si>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</si>
  <si>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</si>
  <si>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</si>
  <si>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</si>
  <si>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</si>
  <si>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</si>
  <si>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</si>
  <si>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</si>
  <si>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</si>
  <si>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</si>
  <si>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</si>
  <si>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</si>
  <si>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</si>
  <si>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</si>
  <si>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</si>
  <si>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</si>
  <si>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</si>
  <si>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</si>
  <si>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</si>
  <si>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</si>
  <si>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</si>
  <si>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</si>
  <si>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</si>
  <si>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</si>
  <si>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</si>
  <si>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</si>
  <si>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</si>
  <si>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</si>
  <si>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</si>
  <si>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</si>
  <si>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</si>
  <si>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</si>
  <si>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</si>
  <si>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</si>
  <si>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</si>
  <si>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</si>
  <si>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</si>
  <si>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</si>
  <si>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</si>
  <si>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</si>
  <si>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</si>
  <si>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</si>
  <si>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</si>
  <si>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</si>
  <si>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</si>
  <si>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</si>
  <si>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</si>
  <si>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</si>
  <si>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</si>
  <si>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</si>
  <si>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</si>
  <si>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</si>
  <si>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</si>
  <si>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</si>
  <si>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</si>
  <si>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</si>
  <si>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</si>
  <si>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</si>
  <si>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</si>
  <si>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</si>
  <si>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</si>
  <si>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</si>
  <si>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</si>
  <si>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</si>
  <si>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</si>
  <si>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</si>
  <si>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</si>
  <si>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</si>
  <si>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</si>
  <si>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</si>
  <si>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</si>
  <si>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</si>
  <si>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</si>
  <si>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</si>
  <si>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</si>
  <si>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</si>
  <si>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</si>
  <si>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</si>
  <si>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</si>
  <si>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</si>
  <si>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</si>
  <si>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</si>
  <si>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</si>
  <si>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</si>
  <si>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</si>
  <si>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</si>
  <si>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</si>
  <si>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</si>
  <si>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</si>
  <si>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</si>
  <si>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</si>
  <si>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</si>
  <si>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</si>
  <si>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</si>
  <si>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</si>
  <si>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</si>
  <si>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</si>
  <si>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</si>
  <si>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</si>
  <si>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</si>
  <si>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</si>
  <si>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</si>
  <si>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</si>
  <si>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</si>
  <si>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</si>
  <si>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</si>
  <si>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</si>
  <si>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</si>
  <si>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</si>
  <si>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</si>
  <si>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</si>
  <si>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</si>
  <si>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</si>
  <si>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</si>
  <si>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</si>
  <si>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</si>
  <si>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</si>
  <si>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</si>
  <si>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</si>
  <si>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</si>
  <si>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</si>
  <si>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</si>
  <si>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</si>
  <si>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</si>
  <si>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</si>
  <si>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</si>
  <si>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</si>
  <si>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</si>
  <si>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</si>
  <si>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</si>
  <si>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</si>
  <si>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</si>
  <si>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</si>
  <si>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</si>
  <si>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</si>
  <si>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</si>
  <si>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</si>
  <si>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</si>
  <si>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</si>
  <si>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</si>
  <si>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</si>
  <si>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</si>
  <si>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</si>
  <si>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</si>
  <si>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</si>
  <si>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</si>
  <si>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</si>
  <si>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</si>
  <si>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</si>
  <si>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</si>
  <si>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</si>
  <si>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</si>
  <si>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</si>
  <si>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</si>
  <si>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</si>
  <si>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</si>
  <si>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</si>
  <si>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</si>
  <si>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</si>
  <si>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</si>
  <si>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</si>
  <si>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</si>
  <si>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</si>
  <si>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</si>
  <si>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</si>
  <si>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</si>
  <si>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</si>
  <si>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</si>
  <si>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</si>
  <si>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</si>
  <si>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</si>
  <si>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</si>
  <si>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</si>
  <si>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</si>
  <si>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</si>
  <si>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</si>
  <si>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</si>
  <si>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</si>
  <si>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</si>
  <si>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</si>
  <si>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</si>
  <si>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</si>
  <si>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</si>
  <si>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</si>
  <si>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</si>
  <si>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</si>
  <si>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</si>
  <si>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</si>
  <si>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</si>
  <si>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</si>
  <si>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</si>
  <si>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</si>
  <si>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</si>
  <si>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</si>
  <si>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</si>
  <si>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</si>
  <si>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</si>
  <si>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</si>
  <si>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</si>
  <si>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</si>
  <si>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</si>
  <si>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</si>
  <si>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</si>
  <si>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</si>
  <si>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</si>
  <si>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</si>
  <si>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</si>
  <si>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</si>
  <si>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</si>
  <si>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</si>
  <si>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</si>
  <si>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</si>
  <si>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</si>
  <si>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</si>
  <si>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</si>
  <si>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</si>
  <si>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</si>
  <si>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</si>
  <si>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</si>
  <si>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</si>
  <si>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</si>
  <si>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</si>
  <si>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</si>
  <si>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</si>
  <si>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</si>
  <si>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</si>
  <si>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</si>
  <si>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</si>
  <si>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</si>
  <si>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</si>
  <si>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</si>
  <si>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</si>
  <si>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</si>
  <si>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</si>
  <si>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</si>
  <si>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</si>
  <si>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</si>
  <si>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</si>
  <si>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</si>
  <si>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</si>
  <si>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</si>
  <si>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</si>
  <si>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</si>
  <si>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</si>
  <si>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</si>
  <si>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</si>
  <si>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</si>
  <si>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</si>
  <si>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</si>
  <si>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</si>
  <si>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</si>
  <si>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</si>
  <si>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</si>
  <si>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</si>
  <si>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</si>
  <si>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</si>
  <si>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</si>
  <si>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</si>
  <si>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</si>
  <si>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</si>
  <si>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</si>
  <si>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</si>
  <si>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</si>
  <si>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</si>
  <si>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</si>
  <si>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</si>
  <si>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</si>
  <si>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</si>
  <si>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</si>
  <si>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</si>
  <si>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</si>
  <si>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</si>
  <si>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</si>
  <si>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</si>
  <si>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</si>
  <si>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</si>
  <si>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</si>
  <si>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</si>
  <si>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</si>
  <si>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</si>
  <si>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</si>
  <si>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</si>
  <si>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</si>
  <si>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</si>
  <si>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</si>
  <si>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</si>
  <si>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</si>
  <si>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</si>
  <si>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</si>
  <si>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</si>
  <si>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</si>
  <si>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</si>
  <si>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</si>
  <si>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</si>
  <si>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</si>
  <si>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</si>
  <si>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</si>
  <si>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</si>
  <si>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</si>
  <si>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</si>
  <si>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</si>
  <si>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</si>
  <si>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</si>
  <si>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</si>
  <si>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</si>
  <si>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</si>
  <si>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</si>
  <si>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</si>
  <si>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</si>
  <si>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</si>
  <si>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</si>
  <si>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</si>
  <si>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</si>
  <si>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</si>
  <si>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</si>
  <si>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</si>
  <si>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</si>
  <si>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</si>
  <si>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</si>
  <si>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</si>
  <si>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</si>
  <si>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</si>
  <si>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</si>
  <si>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</si>
  <si>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</si>
  <si>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</si>
  <si>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</si>
  <si>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</si>
  <si>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</si>
  <si>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</si>
  <si>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</si>
  <si>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</si>
  <si>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</si>
  <si>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</si>
  <si>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</si>
  <si>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</si>
  <si>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</si>
  <si>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</si>
  <si>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</si>
  <si>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</si>
  <si>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</si>
  <si>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</si>
  <si>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</si>
  <si>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</si>
  <si>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</si>
  <si>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</si>
  <si>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</si>
  <si>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</si>
  <si>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</si>
  <si>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</si>
  <si>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</si>
  <si>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</si>
  <si>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</si>
  <si>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</si>
  <si>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</si>
  <si>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</si>
  <si>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</si>
  <si>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</si>
  <si>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</si>
  <si>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</si>
  <si>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</si>
  <si>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</si>
  <si>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</si>
  <si>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</si>
  <si>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</si>
  <si>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</si>
  <si>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</si>
  <si>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</si>
  <si>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</si>
  <si>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</si>
  <si>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</si>
  <si>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</si>
  <si>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</si>
  <si>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</si>
  <si>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</si>
  <si>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</si>
  <si>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</si>
  <si>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</si>
  <si>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</si>
  <si>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</si>
  <si>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</si>
  <si>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</si>
  <si>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</si>
  <si>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</si>
  <si>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</si>
  <si>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</si>
  <si>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</si>
  <si>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</si>
  <si>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</si>
  <si>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</si>
  <si>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</si>
  <si>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</si>
  <si>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</si>
  <si>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</si>
  <si>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</si>
  <si>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</si>
  <si>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</si>
  <si>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</si>
  <si>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</si>
  <si>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</si>
  <si>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</si>
  <si>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</si>
  <si>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</si>
  <si>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</si>
  <si>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</si>
  <si>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</si>
  <si>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</si>
  <si>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</si>
  <si>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</si>
  <si>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</si>
  <si>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</si>
  <si>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</si>
  <si>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</si>
  <si>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</si>
  <si>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</si>
  <si>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</si>
  <si>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</si>
  <si>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</si>
  <si>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</si>
  <si>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</si>
  <si>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</si>
  <si>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</si>
  <si>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</si>
  <si>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</si>
  <si>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</si>
  <si>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</si>
  <si>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</si>
  <si>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</si>
  <si>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</si>
  <si>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</si>
  <si>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</si>
  <si>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</si>
  <si>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</si>
  <si>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</si>
  <si>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</si>
  <si>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</si>
  <si>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</si>
  <si>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</si>
  <si>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</si>
  <si>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</si>
  <si>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</si>
  <si>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</si>
  <si>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</si>
  <si>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</si>
  <si>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</si>
  <si>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</si>
  <si>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</si>
  <si>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</si>
  <si>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</si>
  <si>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</si>
  <si>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</si>
  <si>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</si>
  <si>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</si>
  <si>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</si>
  <si>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</si>
  <si>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</si>
  <si>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</si>
  <si>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</si>
  <si>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</si>
  <si>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</si>
  <si>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</si>
  <si>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</si>
  <si>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</si>
  <si>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</si>
  <si>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</si>
  <si>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</si>
  <si>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</si>
  <si>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</si>
  <si>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</si>
  <si>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</si>
  <si>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</si>
  <si>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</si>
  <si>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</si>
  <si>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</si>
  <si>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</si>
  <si>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</si>
  <si>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</si>
  <si>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</si>
  <si>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</si>
  <si>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</si>
  <si>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</si>
  <si>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</si>
  <si>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</si>
  <si>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</si>
  <si>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</si>
  <si>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</si>
  <si>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</si>
  <si>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</si>
  <si>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</si>
  <si>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</si>
  <si>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</si>
  <si>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</si>
  <si>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</si>
  <si>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</si>
  <si>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</si>
  <si>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</si>
  <si>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</si>
  <si>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</si>
  <si>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</si>
  <si>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</si>
  <si>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</si>
  <si>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</si>
  <si>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</si>
  <si>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</si>
  <si>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</si>
  <si>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</si>
  <si>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</si>
  <si>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</si>
  <si>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</si>
  <si>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</si>
  <si>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</si>
  <si>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</si>
  <si>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</si>
  <si>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</si>
  <si>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</si>
  <si>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</si>
  <si>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</si>
  <si>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</si>
  <si>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</si>
  <si>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</si>
  <si>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</si>
  <si>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</si>
  <si>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</si>
  <si>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</si>
  <si>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</si>
  <si>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</si>
  <si>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</si>
  <si>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</si>
  <si>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</si>
  <si>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</si>
  <si>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</si>
  <si>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</si>
  <si>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</si>
  <si>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</si>
  <si>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</si>
  <si>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</si>
  <si>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</si>
  <si>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</si>
  <si>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</si>
  <si>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</si>
  <si>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</si>
  <si>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</si>
  <si>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</si>
  <si>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</si>
  <si>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</si>
  <si>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</si>
  <si>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</si>
  <si>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</si>
  <si>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</si>
  <si>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</si>
  <si>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</si>
  <si>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</si>
  <si>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</si>
  <si>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</si>
  <si>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</si>
  <si>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</si>
  <si>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</si>
  <si>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</si>
  <si>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</si>
  <si>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</si>
  <si>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</si>
  <si>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</si>
  <si>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</si>
  <si>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</si>
  <si>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</si>
  <si>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</si>
  <si>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</si>
  <si>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</si>
  <si>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</si>
  <si>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</si>
  <si>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</si>
  <si>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</si>
  <si>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</si>
  <si>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</si>
  <si>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</si>
  <si>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</si>
  <si>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</si>
  <si>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</si>
  <si>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</si>
  <si>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</si>
  <si>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</si>
  <si>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</si>
  <si>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</si>
  <si>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</si>
  <si>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</si>
  <si>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</si>
  <si>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</si>
  <si>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</si>
  <si>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</si>
  <si>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</si>
  <si>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</si>
  <si>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</si>
  <si>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</si>
  <si>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</si>
  <si>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</si>
  <si>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</si>
  <si>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</si>
  <si>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</si>
  <si>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</si>
  <si>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</si>
  <si>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</si>
  <si>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</si>
  <si>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</si>
  <si>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</si>
  <si>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</si>
  <si>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</si>
  <si>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</si>
  <si>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</si>
  <si>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</si>
  <si>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</si>
  <si>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</si>
  <si>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</si>
  <si>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</si>
  <si>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</si>
  <si>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</si>
  <si>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</si>
  <si>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</si>
  <si>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</si>
  <si>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</si>
  <si>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</si>
  <si>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</si>
  <si>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</si>
  <si>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</si>
  <si>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</si>
  <si>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</si>
  <si>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</si>
  <si>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</si>
  <si>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</si>
  <si>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</si>
  <si>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</si>
  <si>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</si>
  <si>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</si>
  <si>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</si>
  <si>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</si>
  <si>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</si>
  <si>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</si>
  <si>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</si>
  <si>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</si>
  <si>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</si>
  <si>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</si>
  <si>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</si>
  <si>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</si>
  <si>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</si>
  <si>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</si>
  <si>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</si>
  <si>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</si>
  <si>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</si>
  <si>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</si>
  <si>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</si>
  <si>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</si>
  <si>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</si>
  <si>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</si>
  <si>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</si>
  <si>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</si>
  <si>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</si>
  <si>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</si>
  <si>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</si>
  <si>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</si>
  <si>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</si>
  <si>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</si>
  <si>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</si>
  <si>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</si>
  <si>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</si>
  <si>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</si>
  <si>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</si>
  <si>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</si>
  <si>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</si>
  <si>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</si>
  <si>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</si>
  <si>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</si>
  <si>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</si>
  <si>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</si>
  <si>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</si>
  <si>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</si>
  <si>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</si>
  <si>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</si>
  <si>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</si>
  <si>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</si>
  <si>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</si>
  <si>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</si>
  <si>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</si>
  <si>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</si>
  <si>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</si>
  <si>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</si>
  <si>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</si>
  <si>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</si>
  <si>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</si>
  <si>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</si>
  <si>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</si>
  <si>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</si>
  <si>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</si>
  <si>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</si>
  <si>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</si>
  <si>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</si>
  <si>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</si>
  <si>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</si>
  <si>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</si>
  <si>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</si>
  <si>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</si>
  <si>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</si>
  <si>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</si>
  <si>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</si>
  <si>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</si>
  <si>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</si>
  <si>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</si>
  <si>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</si>
  <si>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</si>
  <si>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</si>
  <si>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</si>
  <si>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</si>
  <si>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</si>
  <si>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</si>
  <si>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</si>
  <si>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</si>
  <si>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</si>
  <si>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</si>
  <si>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</si>
  <si>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</si>
  <si>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</si>
  <si>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</si>
  <si>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</si>
  <si>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</si>
  <si>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</si>
  <si>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</si>
  <si>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</si>
  <si>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</si>
  <si>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</si>
  <si>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</si>
  <si>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</si>
  <si>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</si>
  <si>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</si>
  <si>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</si>
  <si>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</si>
  <si>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</si>
  <si>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</si>
  <si>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</si>
  <si>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</si>
  <si>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</si>
  <si>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</si>
  <si>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</si>
  <si>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</si>
  <si>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</si>
  <si>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</si>
  <si>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</si>
  <si>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</si>
  <si>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</si>
  <si>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</si>
  <si>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</si>
  <si>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</si>
  <si>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</si>
  <si>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</si>
  <si>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</si>
  <si>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</si>
  <si>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</si>
  <si>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</si>
  <si>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</si>
  <si>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</si>
  <si>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</si>
  <si>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</si>
  <si>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</si>
  <si>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</si>
  <si>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</si>
  <si>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</si>
  <si>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</si>
  <si>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</si>
  <si>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</si>
  <si>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</si>
  <si>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</si>
  <si>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</si>
  <si>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</si>
  <si>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</si>
  <si>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</si>
  <si>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</si>
  <si>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</si>
  <si>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</si>
  <si>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</si>
  <si>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</si>
  <si>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</si>
  <si>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</si>
  <si>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</si>
  <si>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</si>
  <si>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</si>
  <si>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</si>
  <si>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</si>
  <si>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</si>
  <si>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</si>
  <si>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</si>
  <si>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</si>
  <si>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</si>
  <si>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</si>
  <si>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</si>
  <si>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</si>
  <si>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</si>
  <si>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</si>
  <si>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</si>
  <si>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</si>
  <si>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</si>
  <si>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</si>
  <si>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</si>
  <si>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</si>
  <si>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</si>
  <si>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</si>
  <si>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</si>
  <si>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</si>
  <si>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</si>
  <si>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</si>
  <si>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</si>
  <si>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</si>
  <si>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</si>
  <si>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</si>
  <si>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</si>
  <si>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</si>
  <si>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</si>
  <si>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</si>
  <si>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</si>
  <si>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</si>
  <si>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</si>
  <si>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</si>
  <si>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</si>
  <si>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</si>
  <si>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</si>
  <si>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</si>
  <si>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</si>
  <si>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</si>
  <si>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</si>
  <si>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</si>
  <si>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</si>
  <si>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</si>
  <si>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</si>
  <si>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</si>
  <si>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</si>
  <si>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</si>
  <si>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</si>
  <si>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</si>
  <si>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</si>
  <si>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</si>
  <si>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</si>
  <si>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</si>
  <si>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</si>
  <si>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</si>
  <si>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</si>
  <si>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</si>
  <si>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</si>
  <si>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</si>
  <si>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</si>
  <si>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</si>
  <si>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</si>
  <si>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</si>
  <si>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</si>
  <si>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</si>
  <si>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</si>
  <si>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</si>
  <si>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</si>
  <si>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</si>
  <si>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</si>
  <si>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</si>
  <si>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</si>
  <si>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</si>
  <si>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</si>
  <si>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</si>
  <si>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</si>
  <si>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</si>
  <si>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</si>
  <si>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</si>
  <si>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</si>
  <si>
    <t>Reduce 10 Golds instead of Damage</t>
    <phoneticPr fontId="6" type="noConversion"/>
  </si>
  <si>
    <t>피격시 체력 피해 대신 10골드 감소</t>
    <phoneticPr fontId="6" type="noConversion"/>
  </si>
  <si>
    <t>슬롯머신</t>
    <phoneticPr fontId="6" type="noConversion"/>
  </si>
  <si>
    <t>확률</t>
    <phoneticPr fontId="6" type="noConversion"/>
  </si>
  <si>
    <t>기대 가치</t>
    <phoneticPr fontId="6" type="noConversion"/>
  </si>
  <si>
    <t>2코인</t>
    <phoneticPr fontId="6" type="noConversion"/>
  </si>
  <si>
    <t>회복</t>
    <phoneticPr fontId="6" type="noConversion"/>
  </si>
  <si>
    <t>잭팟</t>
    <phoneticPr fontId="6" type="noConversion"/>
  </si>
  <si>
    <t>회차</t>
    <phoneticPr fontId="6" type="noConversion"/>
  </si>
  <si>
    <t>증가 비율</t>
    <phoneticPr fontId="6" type="noConversion"/>
  </si>
  <si>
    <t>슬롯머신 비용</t>
    <phoneticPr fontId="6" type="noConversion"/>
  </si>
  <si>
    <t>가치 (골드)</t>
    <phoneticPr fontId="6" type="noConversion"/>
  </si>
  <si>
    <t>가격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</si>
</sst>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9" fontId="1" fillId="0" borderId="0" xfId="0" applyNumberFormat="1" applyFont="1">
      <alignment vertical="center"/>
    </xf>
    <xf numFmtId="9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9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8"/>
      <tableStyleElement type="headerRow" dxfId="187"/>
      <tableStyleElement type="totalRow" dxfId="186"/>
      <tableStyleElement type="firstColumn" dxfId="185"/>
      <tableStyleElement type="lastColumn" dxfId="184"/>
      <tableStyleElement type="firstRowStripe" dxfId="183"/>
      <tableStyleElement type="firstColumnStripe" dxfId="182"/>
    </tableStyle>
    <tableStyle name="Light Style 1 - Accent 1" table="0" count="7" xr9:uid="{00000000-0011-0000-FFFF-FFFF01000000}">
      <tableStyleElement type="wholeTable" dxfId="181"/>
      <tableStyleElement type="headerRow" dxfId="180"/>
      <tableStyleElement type="totalRow" dxfId="179"/>
      <tableStyleElement type="firstColumn" dxfId="178"/>
      <tableStyleElement type="lastColumn" dxfId="177"/>
      <tableStyleElement type="firstRowStripe" dxfId="176"/>
      <tableStyleElement type="firstColumnStripe" dxfId="175"/>
    </tableStyle>
    <tableStyle name="표 스타일 1" pivot="0" count="4" xr9:uid="{00000000-0011-0000-FFFF-FFFF02000000}">
      <tableStyleElement type="wholeTable" dxfId="174"/>
      <tableStyleElement type="headerRow" dxfId="173"/>
      <tableStyleElement type="firstRowStripe" dxfId="172"/>
      <tableStyleElement type="secondRowStripe" dxfId="171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70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9">
  <autoFilter ref="B12:G42" xr:uid="{00000000-0009-0000-0100-00000B000000}"/>
  <tableColumns count="6">
    <tableColumn id="11" xr3:uid="{00000000-0010-0000-0100-00000B000000}" name="층" dataDxfId="168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7"/>
    <tableColumn id="6" xr3:uid="{00000000-0010-0000-0100-000006000000}" name="평균획득골드" totalsRowFunction="average" dataDxfId="166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5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4" totalsRowDxfId="163"/>
    <tableColumn id="2" xr3:uid="{00000000-0010-0000-0300-000002000000}" name="개수" dataDxfId="162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61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60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9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8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7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6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5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4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3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811BCCE-926E-45EC-81B2-93C71D0A2C42}" name="표34" displayName="표34" ref="J28:M33" totalsRowShown="0" headerRowDxfId="152">
  <autoFilter ref="J28:M33" xr:uid="{B811BCCE-926E-45EC-81B2-93C71D0A2C42}"/>
  <tableColumns count="4">
    <tableColumn id="1" xr3:uid="{7C9886CE-3539-49A1-959E-11788813C1D7}" name="설명" dataDxfId="151"/>
    <tableColumn id="2" xr3:uid="{5699098B-B5AD-4B48-9DBD-920170E0193F}" name="가치 (골드)"/>
    <tableColumn id="3" xr3:uid="{C51E2F24-CAE8-4206-B8D4-B4E7DFC30FD3}" name="확률" dataDxfId="150"/>
    <tableColumn id="4" xr3:uid="{DCDD03FE-1D1B-45D5-9886-D7F954B45F0A}" name="기대 가치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02A674E-B07B-4591-86D4-308DDFA917BB}" name="표35" displayName="표35" ref="O28:Q38" totalsRowShown="0">
  <autoFilter ref="O28:Q38" xr:uid="{F02A674E-B07B-4591-86D4-308DDFA917BB}"/>
  <tableColumns count="3">
    <tableColumn id="1" xr3:uid="{AC5E3E7C-79B6-4BD3-A732-93637B72A361}" name="회차"/>
    <tableColumn id="2" xr3:uid="{F7DADF90-3BB9-44C3-83FC-DAE42A3BFB63}" name="가격">
      <calculatedColumnFormula>P28*$Q$29</calculatedColumnFormula>
    </tableColumn>
    <tableColumn id="3" xr3:uid="{2ABAC540-D5B2-4D23-A564-418348A51F45}" name="증가 비율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2"/>
    <tableColumn id="3" xr3:uid="{00000000-0010-0000-1F00-000003000000}" name="Duration"/>
    <tableColumn id="4" xr3:uid="{00000000-0010-0000-1F00-000004000000}" name="#한국어" dataDxfId="11">
      <calculatedColumnFormula>INDEX(LocaleTable[LocaleKR],MATCH(표31[[#This Row],[LocaleId]],LocaleTable[StringKey],0))</calculatedColumnFormula>
    </tableColumn>
    <tableColumn id="5" xr3:uid="{00000000-0010-0000-1F00-000005000000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9" dataDxfId="8">
  <autoFilter ref="B2:I238" xr:uid="{00000000-0009-0000-0100-000003000000}"/>
  <tableColumns count="8">
    <tableColumn id="1" xr3:uid="{00000000-0010-0000-2000-000001000000}" name="StringKey" dataDxfId="7"/>
    <tableColumn id="2" xr3:uid="{00000000-0010-0000-2000-000002000000}" name="LocaleKR" dataDxfId="6"/>
    <tableColumn id="3" xr3:uid="{00000000-0010-0000-2000-000003000000}" name="LocaleUS" dataDxfId="5"/>
    <tableColumn id="6" xr3:uid="{00000000-0010-0000-2000-000006000000}" name="#컴포넌트1" dataDxfId="4"/>
    <tableColumn id="7" xr3:uid="{00000000-0010-0000-2000-000007000000}" name="#컴포넌트2" dataDxfId="3"/>
    <tableColumn id="8" xr3:uid="{00000000-0010-0000-2000-000008000000}" name="#컴포넌트3" dataDxfId="2"/>
    <tableColumn id="9" xr3:uid="{00000000-0010-0000-2000-000009000000}" name="#컴포넌트4" dataDxfId="1"/>
    <tableColumn id="5" xr3:uid="{00000000-0010-0000-20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92" t="s">
        <v>184</v>
      </c>
      <c r="C1" s="93"/>
      <c r="D1" s="93"/>
      <c r="E1" s="93"/>
    </row>
    <row r="2" spans="2:5" s="1" customFormat="1">
      <c r="B2" s="93"/>
      <c r="C2" s="93"/>
      <c r="D2" s="93"/>
      <c r="E2" s="93"/>
    </row>
    <row r="3" spans="2:5" s="1" customFormat="1">
      <c r="B3" s="93"/>
      <c r="C3" s="93"/>
      <c r="D3" s="93"/>
      <c r="E3" s="9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abSelected="1" zoomScaleNormal="75" zoomScaleSheetLayoutView="100" workbookViewId="0">
      <selection activeCell="N15" sqref="N15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1" width="16" customWidth="1"/>
    <col min="12" max="12" width="15.125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92" t="s">
        <v>117</v>
      </c>
      <c r="C1" s="93"/>
      <c r="D1" s="93"/>
      <c r="E1" s="93"/>
    </row>
    <row r="2" spans="2:18" s="1" customFormat="1">
      <c r="B2" s="93"/>
      <c r="C2" s="93"/>
      <c r="D2" s="93"/>
      <c r="E2" s="93"/>
    </row>
    <row r="3" spans="2:18" s="1" customFormat="1">
      <c r="B3" s="93"/>
      <c r="C3" s="93"/>
      <c r="D3" s="93"/>
      <c r="E3" s="93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0</v>
      </c>
      <c r="M7">
        <v>0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5</v>
      </c>
      <c r="M8">
        <v>5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2.5</v>
      </c>
      <c r="M9">
        <f>SUBTOTAL(101,표20[정예])</f>
        <v>2.5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12.5</v>
      </c>
      <c r="J13" s="11" t="s">
        <v>373</v>
      </c>
      <c r="K13">
        <f>INDEX(ProductialTable[MaxRoomValue],MATCH(FloorInfo[[#This Row],[층]],ProductialTable['#이름],0))-3</f>
        <v>6</v>
      </c>
      <c r="L13">
        <f>(SUMIFS(StageEnemyInfo[평균획득골드],StageEnemyInfo[층],FloorInfo[[#This Row],[층]])/_xlfn.MAXIFS(StageEnemyInfo[스테이지],StageEnemyInfo[층],FloorInfo[[#This Row],[층]]))</f>
        <v>12.5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75</v>
      </c>
      <c r="O13" s="11" t="s">
        <v>379</v>
      </c>
      <c r="P13" s="11">
        <f>FloorInfo[[#Totals],[층 완료 획득 골드]]/30</f>
        <v>10.166666666666666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15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90</v>
      </c>
      <c r="O14" s="11" t="s">
        <v>380</v>
      </c>
      <c r="P14" s="11">
        <f>FloorInfo[[#Totals],[층 완료 획득 골드]]/((50+60)/2)</f>
        <v>5.5454545454545459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20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20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140</v>
      </c>
      <c r="O15" s="11" t="s">
        <v>1149</v>
      </c>
      <c r="P15">
        <f>FloorInfo[[#Totals],[층 완료 획득 골드]]/((30+((50+60)/2))/2)</f>
        <v>7.1764705882352944</v>
      </c>
    </row>
    <row r="16" spans="2:18">
      <c r="B16" s="11"/>
      <c r="J16" s="11" t="s">
        <v>287</v>
      </c>
      <c r="M16">
        <f>SUBTOTAL(109,FloorInfo[층 완료 획득 골드])</f>
        <v>305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0">
        <f>FloorEnemyHPInfo[[#This Row],[박쥐 평균 개수]]*INDEX(EnemyHPInfo[박쥐],MATCH(FloorEnemyHPInfo[[#This Row],[층]],EnemyHPInfo[층]))</f>
        <v>240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30</v>
      </c>
      <c r="N20">
        <f>FloorEnemyHPInfo[[#This Row],[일반 평균 개수]]*INDEX(EnemyHPInfo[일반],MATCH(FloorEnemyHPInfo[[#This Row],[층]],EnemyHPInfo[층]))</f>
        <v>2400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2640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  <c r="J27" s="36" t="s">
        <v>1167</v>
      </c>
      <c r="K27" s="91"/>
      <c r="O27" s="36" t="s">
        <v>1175</v>
      </c>
      <c r="P27" s="91"/>
    </row>
    <row r="28" spans="2:17">
      <c r="B28" s="11"/>
      <c r="J28" s="11" t="s">
        <v>701</v>
      </c>
      <c r="K28" s="11" t="s">
        <v>1176</v>
      </c>
      <c r="L28" s="11" t="s">
        <v>1168</v>
      </c>
      <c r="M28" s="11" t="s">
        <v>1169</v>
      </c>
      <c r="O28" s="11" t="s">
        <v>1173</v>
      </c>
      <c r="P28" s="11" t="s">
        <v>1177</v>
      </c>
      <c r="Q28" s="11" t="s">
        <v>1174</v>
      </c>
    </row>
    <row r="29" spans="2:17">
      <c r="B29" s="11"/>
      <c r="J29" s="11" t="s">
        <v>1170</v>
      </c>
      <c r="K29" s="11">
        <v>2</v>
      </c>
      <c r="L29" s="90">
        <v>0.55000000000000004</v>
      </c>
      <c r="M29">
        <f>K29*L29</f>
        <v>1.1000000000000001</v>
      </c>
      <c r="O29" s="11">
        <v>1</v>
      </c>
      <c r="P29">
        <v>10</v>
      </c>
      <c r="Q29">
        <v>1.2</v>
      </c>
    </row>
    <row r="30" spans="2:17">
      <c r="B30" s="11"/>
      <c r="J30" s="11" t="s">
        <v>1172</v>
      </c>
      <c r="K30">
        <v>50</v>
      </c>
      <c r="L30" s="90">
        <v>0.15</v>
      </c>
      <c r="M30">
        <f t="shared" ref="M30:M32" si="0">K30*L30</f>
        <v>7.5</v>
      </c>
      <c r="O30">
        <v>2</v>
      </c>
      <c r="P30">
        <f>ROUND(P29*$Q$29,0)</f>
        <v>12</v>
      </c>
    </row>
    <row r="31" spans="2:17">
      <c r="B31" s="11"/>
      <c r="J31" s="11" t="s">
        <v>506</v>
      </c>
      <c r="K31" s="11">
        <f>(30+50)/2</f>
        <v>40</v>
      </c>
      <c r="L31" s="90">
        <v>0.1</v>
      </c>
      <c r="M31">
        <f t="shared" si="0"/>
        <v>4</v>
      </c>
      <c r="O31">
        <v>3</v>
      </c>
      <c r="P31">
        <f t="shared" ref="P31:P38" si="1">ROUND(P30*$Q$29,0)</f>
        <v>14</v>
      </c>
    </row>
    <row r="32" spans="2:17">
      <c r="B32" s="11"/>
      <c r="J32" s="11" t="s">
        <v>1171</v>
      </c>
      <c r="K32">
        <v>15</v>
      </c>
      <c r="L32" s="89">
        <v>0.2</v>
      </c>
      <c r="M32">
        <f t="shared" si="0"/>
        <v>3</v>
      </c>
      <c r="O32">
        <v>4</v>
      </c>
      <c r="P32">
        <f t="shared" si="1"/>
        <v>17</v>
      </c>
    </row>
    <row r="33" spans="2:16">
      <c r="B33" s="11"/>
      <c r="M33">
        <f>SUM(M29:M32)</f>
        <v>15.6</v>
      </c>
      <c r="O33">
        <v>5</v>
      </c>
      <c r="P33">
        <f t="shared" si="1"/>
        <v>20</v>
      </c>
    </row>
    <row r="34" spans="2:16">
      <c r="B34" s="11"/>
      <c r="O34">
        <v>6</v>
      </c>
      <c r="P34">
        <f t="shared" si="1"/>
        <v>24</v>
      </c>
    </row>
    <row r="35" spans="2:16">
      <c r="B35" s="11"/>
      <c r="O35">
        <v>7</v>
      </c>
      <c r="P35">
        <f t="shared" si="1"/>
        <v>29</v>
      </c>
    </row>
    <row r="36" spans="2:16">
      <c r="B36" s="11"/>
      <c r="O36">
        <v>8</v>
      </c>
      <c r="P36">
        <f t="shared" si="1"/>
        <v>35</v>
      </c>
    </row>
    <row r="37" spans="2:16">
      <c r="B37" s="11"/>
      <c r="O37">
        <v>9</v>
      </c>
      <c r="P37">
        <f t="shared" si="1"/>
        <v>42</v>
      </c>
    </row>
    <row r="38" spans="2:16">
      <c r="B38" s="11"/>
      <c r="O38">
        <v>10</v>
      </c>
      <c r="P38">
        <f t="shared" si="1"/>
        <v>50</v>
      </c>
    </row>
    <row r="39" spans="2:16">
      <c r="B39" s="11"/>
    </row>
    <row r="40" spans="2:16">
      <c r="B40" s="11"/>
    </row>
    <row r="41" spans="2:16">
      <c r="B41" s="11"/>
    </row>
    <row r="42" spans="2:16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44"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92" t="s">
        <v>164</v>
      </c>
      <c r="C1" s="93"/>
      <c r="D1" s="93"/>
      <c r="E1" s="93"/>
      <c r="F1" s="93"/>
      <c r="G1" s="93"/>
    </row>
    <row r="2" spans="1:17" s="1" customFormat="1">
      <c r="B2" s="93"/>
      <c r="C2" s="93"/>
      <c r="D2" s="93"/>
      <c r="E2" s="93"/>
      <c r="F2" s="93"/>
      <c r="G2" s="93"/>
    </row>
    <row r="3" spans="1:17" s="1" customFormat="1">
      <c r="B3" s="93"/>
      <c r="C3" s="93"/>
      <c r="D3" s="93"/>
      <c r="E3" s="93"/>
      <c r="F3" s="93"/>
      <c r="G3" s="93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682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40.843881856540094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709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802</v>
      </c>
      <c r="C25" s="9" t="s">
        <v>9</v>
      </c>
      <c r="D25" s="16" t="s">
        <v>806</v>
      </c>
      <c r="E25" s="19">
        <v>50</v>
      </c>
      <c r="F25" s="61">
        <v>0</v>
      </c>
    </row>
    <row r="26" spans="1:15">
      <c r="A26" s="9"/>
      <c r="B26" s="71" t="s">
        <v>803</v>
      </c>
      <c r="C26" s="9" t="s">
        <v>9</v>
      </c>
      <c r="D26" s="16" t="s">
        <v>805</v>
      </c>
      <c r="E26" s="19">
        <v>30</v>
      </c>
      <c r="F26" s="61">
        <v>0</v>
      </c>
    </row>
    <row r="27" spans="1:15">
      <c r="A27" s="9"/>
      <c r="B27" s="71" t="s">
        <v>799</v>
      </c>
      <c r="C27" s="9" t="s">
        <v>9</v>
      </c>
      <c r="D27" s="16" t="s">
        <v>804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671</v>
      </c>
    </row>
    <row r="45" spans="1:6">
      <c r="B45" s="11" t="s">
        <v>681</v>
      </c>
      <c r="C45" s="11" t="s">
        <v>683</v>
      </c>
      <c r="D45" s="11" t="s">
        <v>684</v>
      </c>
      <c r="E45" s="11" t="s">
        <v>671</v>
      </c>
      <c r="F45" s="11" t="s">
        <v>603</v>
      </c>
    </row>
    <row r="46" spans="1:6">
      <c r="B46" s="9" t="s">
        <v>672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673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674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675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676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677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678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679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680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671</v>
      </c>
    </row>
    <row r="57" spans="2:6">
      <c r="B57" s="11" t="s">
        <v>698</v>
      </c>
      <c r="C57" t="s">
        <v>700</v>
      </c>
      <c r="D57" s="11" t="s">
        <v>701</v>
      </c>
      <c r="E57" s="11" t="s">
        <v>699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801</v>
      </c>
      <c r="I2" s="33" t="s">
        <v>803</v>
      </c>
      <c r="J2" s="33" t="s">
        <v>799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F19" sqref="F19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9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topLeftCell="F1" zoomScaleNormal="75" zoomScaleSheetLayoutView="100" workbookViewId="0">
      <selection activeCell="R36" sqref="R36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1004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0</v>
      </c>
      <c r="R4">
        <v>5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2.5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Row],[SpacingRad]]+5)</f>
        <v>10</v>
      </c>
      <c r="O5">
        <v>601</v>
      </c>
      <c r="P5">
        <v>0</v>
      </c>
      <c r="Q5">
        <v>0</v>
      </c>
      <c r="R5">
        <v>5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2.5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Row],[SpacingRad]]+5)</f>
        <v>14</v>
      </c>
      <c r="O6">
        <v>602</v>
      </c>
      <c r="P6">
        <v>0</v>
      </c>
      <c r="Q6">
        <v>0</v>
      </c>
      <c r="R6">
        <v>5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2.5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Row],[SpacingRad]]+5)</f>
        <v>9</v>
      </c>
      <c r="O7" s="20">
        <v>603</v>
      </c>
      <c r="P7" s="20">
        <v>0</v>
      </c>
      <c r="Q7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Row],[SpacingRad]]+5)</f>
        <v>9</v>
      </c>
      <c r="O8" s="20">
        <v>604</v>
      </c>
      <c r="P8" s="20">
        <v>0</v>
      </c>
      <c r="Q8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Row],[SpacingRad]]+5)</f>
        <v>9</v>
      </c>
      <c r="O9">
        <v>605</v>
      </c>
      <c r="P9">
        <v>0</v>
      </c>
      <c r="Q9">
        <v>0</v>
      </c>
      <c r="R9">
        <v>5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2.5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0</v>
      </c>
      <c r="R10">
        <v>5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2.5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0</v>
      </c>
      <c r="R11">
        <v>5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2.5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Row],[SpacingRad]]+5)</f>
        <v>10</v>
      </c>
      <c r="O12" s="39">
        <v>651</v>
      </c>
      <c r="P12" s="39">
        <v>0</v>
      </c>
      <c r="Q12">
        <v>0</v>
      </c>
      <c r="R12" s="39">
        <v>5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2.5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Row],[SpacingRad]]+5)</f>
        <v>13</v>
      </c>
      <c r="O13">
        <v>652</v>
      </c>
      <c r="P13">
        <v>0</v>
      </c>
      <c r="Q13">
        <v>0</v>
      </c>
      <c r="R13" s="11">
        <v>5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2.5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Row],[SpacingRad]]+5)</f>
        <v>9</v>
      </c>
      <c r="O14">
        <v>604</v>
      </c>
      <c r="P14">
        <v>0</v>
      </c>
      <c r="Q14">
        <v>0</v>
      </c>
      <c r="R14">
        <v>5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2.5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1150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1151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1152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1153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788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827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789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828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825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830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826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831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787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829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10" zoomScaleNormal="75" zoomScaleSheetLayoutView="100" workbookViewId="0">
      <selection activeCell="M51" sqref="M51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1156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1156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1156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791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795</v>
      </c>
      <c r="D62">
        <v>2002</v>
      </c>
      <c r="E62" s="16" t="s">
        <v>798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796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797</v>
      </c>
      <c r="D64">
        <v>2002</v>
      </c>
      <c r="E64" s="16" t="s">
        <v>798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807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807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807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807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807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807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807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807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807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824</v>
      </c>
      <c r="D74">
        <v>3104</v>
      </c>
      <c r="E74" s="16" t="s">
        <v>798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824</v>
      </c>
      <c r="D75">
        <v>3114</v>
      </c>
      <c r="E75" s="16" t="s">
        <v>798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824</v>
      </c>
      <c r="D76">
        <v>3109</v>
      </c>
      <c r="E76" s="16" t="s">
        <v>798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824</v>
      </c>
      <c r="D77">
        <v>3101</v>
      </c>
      <c r="E77" s="16" t="s">
        <v>798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824</v>
      </c>
      <c r="D78">
        <v>3102</v>
      </c>
      <c r="E78" s="16" t="s">
        <v>798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824</v>
      </c>
      <c r="D79">
        <v>3108</v>
      </c>
      <c r="E79" s="16" t="s">
        <v>798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824</v>
      </c>
      <c r="D80">
        <v>3111</v>
      </c>
      <c r="E80" s="16" t="s">
        <v>798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824</v>
      </c>
      <c r="D81">
        <v>3116</v>
      </c>
      <c r="E81" s="16" t="s">
        <v>798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824</v>
      </c>
      <c r="D82">
        <v>3115</v>
      </c>
      <c r="E82" s="16" t="s">
        <v>798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824</v>
      </c>
      <c r="D83">
        <v>3106</v>
      </c>
      <c r="E83" s="16" t="s">
        <v>798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824</v>
      </c>
      <c r="D84">
        <v>3103</v>
      </c>
      <c r="E84" s="16" t="s">
        <v>798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824</v>
      </c>
      <c r="D85">
        <v>3105</v>
      </c>
      <c r="E85" s="16" t="s">
        <v>798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824</v>
      </c>
      <c r="D86">
        <v>3113</v>
      </c>
      <c r="E86" s="16" t="s">
        <v>798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824</v>
      </c>
      <c r="D87">
        <v>3112</v>
      </c>
      <c r="E87" s="16" t="s">
        <v>798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824</v>
      </c>
      <c r="D88">
        <v>3110</v>
      </c>
      <c r="E88" s="16" t="s">
        <v>798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824</v>
      </c>
      <c r="D89">
        <v>3107</v>
      </c>
      <c r="E89" s="16" t="s">
        <v>798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824</v>
      </c>
      <c r="D90">
        <v>3110</v>
      </c>
      <c r="E90" s="16" t="s">
        <v>798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824</v>
      </c>
      <c r="D91">
        <v>3101</v>
      </c>
      <c r="E91" s="16" t="s">
        <v>798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824</v>
      </c>
      <c r="D92">
        <v>3116</v>
      </c>
      <c r="E92" s="16" t="s">
        <v>798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824</v>
      </c>
      <c r="D93">
        <v>3105</v>
      </c>
      <c r="E93" s="16" t="s">
        <v>798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824</v>
      </c>
      <c r="D94">
        <v>3115</v>
      </c>
      <c r="E94" s="16" t="s">
        <v>798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824</v>
      </c>
      <c r="D95">
        <v>3111</v>
      </c>
      <c r="E95" s="16" t="s">
        <v>798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824</v>
      </c>
      <c r="D96">
        <v>3112</v>
      </c>
      <c r="E96" s="16" t="s">
        <v>798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824</v>
      </c>
      <c r="D97">
        <v>3108</v>
      </c>
      <c r="E97" s="16" t="s">
        <v>798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824</v>
      </c>
      <c r="D98">
        <v>3107</v>
      </c>
      <c r="E98" s="16" t="s">
        <v>798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824</v>
      </c>
      <c r="D99">
        <v>3102</v>
      </c>
      <c r="E99" s="16" t="s">
        <v>798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824</v>
      </c>
      <c r="D100">
        <v>3106</v>
      </c>
      <c r="E100" s="16" t="s">
        <v>798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824</v>
      </c>
      <c r="D101">
        <v>3114</v>
      </c>
      <c r="E101" s="16" t="s">
        <v>798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824</v>
      </c>
      <c r="D102">
        <v>3103</v>
      </c>
      <c r="E102" s="16" t="s">
        <v>798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824</v>
      </c>
      <c r="D103">
        <v>3113</v>
      </c>
      <c r="E103" s="16" t="s">
        <v>798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824</v>
      </c>
      <c r="D104">
        <v>3104</v>
      </c>
      <c r="E104" s="16" t="s">
        <v>798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824</v>
      </c>
      <c r="D105">
        <v>3109</v>
      </c>
      <c r="E105" s="16" t="s">
        <v>798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824</v>
      </c>
      <c r="D106">
        <v>3110</v>
      </c>
      <c r="E106" s="16" t="s">
        <v>798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824</v>
      </c>
      <c r="D107">
        <v>3116</v>
      </c>
      <c r="E107" s="16" t="s">
        <v>798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824</v>
      </c>
      <c r="D108">
        <v>3108</v>
      </c>
      <c r="E108" s="16" t="s">
        <v>798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824</v>
      </c>
      <c r="D109">
        <v>3115</v>
      </c>
      <c r="E109" s="16" t="s">
        <v>798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824</v>
      </c>
      <c r="D110">
        <v>3103</v>
      </c>
      <c r="E110" s="16" t="s">
        <v>798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824</v>
      </c>
      <c r="D111">
        <v>3102</v>
      </c>
      <c r="E111" s="16" t="s">
        <v>798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824</v>
      </c>
      <c r="D112">
        <v>3114</v>
      </c>
      <c r="E112" s="16" t="s">
        <v>798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824</v>
      </c>
      <c r="D113">
        <v>3113</v>
      </c>
      <c r="E113" s="16" t="s">
        <v>798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824</v>
      </c>
      <c r="D114">
        <v>3111</v>
      </c>
      <c r="E114" s="16" t="s">
        <v>798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824</v>
      </c>
      <c r="D115">
        <v>3107</v>
      </c>
      <c r="E115" s="16" t="s">
        <v>798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824</v>
      </c>
      <c r="D116">
        <v>3106</v>
      </c>
      <c r="E116" s="16" t="s">
        <v>798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824</v>
      </c>
      <c r="D117">
        <v>3104</v>
      </c>
      <c r="E117" s="16" t="s">
        <v>798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824</v>
      </c>
      <c r="D118">
        <v>3112</v>
      </c>
      <c r="E118" s="16" t="s">
        <v>798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824</v>
      </c>
      <c r="D119">
        <v>3101</v>
      </c>
      <c r="E119" s="16" t="s">
        <v>798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824</v>
      </c>
      <c r="D120">
        <v>3105</v>
      </c>
      <c r="E120" s="16" t="s">
        <v>798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824</v>
      </c>
      <c r="D121">
        <v>3109</v>
      </c>
      <c r="E121" s="16" t="s">
        <v>798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824</v>
      </c>
      <c r="D122">
        <v>3101</v>
      </c>
      <c r="E122" s="16" t="s">
        <v>798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824</v>
      </c>
      <c r="D123">
        <v>3110</v>
      </c>
      <c r="E123" s="16" t="s">
        <v>798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824</v>
      </c>
      <c r="D124">
        <v>3103</v>
      </c>
      <c r="E124" s="16" t="s">
        <v>798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824</v>
      </c>
      <c r="D125">
        <v>3116</v>
      </c>
      <c r="E125" s="16" t="s">
        <v>798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824</v>
      </c>
      <c r="D126">
        <v>3109</v>
      </c>
      <c r="E126" s="16" t="s">
        <v>798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824</v>
      </c>
      <c r="D127">
        <v>3107</v>
      </c>
      <c r="E127" s="16" t="s">
        <v>798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824</v>
      </c>
      <c r="D128">
        <v>3113</v>
      </c>
      <c r="E128" s="16" t="s">
        <v>798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824</v>
      </c>
      <c r="D129">
        <v>3106</v>
      </c>
      <c r="E129" s="16" t="s">
        <v>798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824</v>
      </c>
      <c r="D130">
        <v>3102</v>
      </c>
      <c r="E130" s="16" t="s">
        <v>798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824</v>
      </c>
      <c r="D131">
        <v>3111</v>
      </c>
      <c r="E131" s="16" t="s">
        <v>798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824</v>
      </c>
      <c r="D132">
        <v>3115</v>
      </c>
      <c r="E132" s="16" t="s">
        <v>798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824</v>
      </c>
      <c r="D133">
        <v>3112</v>
      </c>
      <c r="E133" s="16" t="s">
        <v>798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824</v>
      </c>
      <c r="D134">
        <v>3114</v>
      </c>
      <c r="E134" s="16" t="s">
        <v>798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824</v>
      </c>
      <c r="D135">
        <v>3105</v>
      </c>
      <c r="E135" s="16" t="s">
        <v>798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824</v>
      </c>
      <c r="D136">
        <v>3104</v>
      </c>
      <c r="E136" s="16" t="s">
        <v>798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824</v>
      </c>
      <c r="D137">
        <v>3108</v>
      </c>
      <c r="E137" s="16" t="s">
        <v>798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858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858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858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22" zoomScaleNormal="75" zoomScaleSheetLayoutView="100" workbookViewId="0">
      <selection activeCell="C64" sqref="C64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822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822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822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822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822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822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822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875</v>
      </c>
      <c r="D94">
        <v>0</v>
      </c>
      <c r="E94">
        <v>206</v>
      </c>
      <c r="F94">
        <v>0</v>
      </c>
      <c r="G94">
        <v>16</v>
      </c>
      <c r="H94" s="11" t="s">
        <v>957</v>
      </c>
    </row>
    <row r="95" spans="2:8">
      <c r="B95">
        <v>806</v>
      </c>
      <c r="C95" s="11" t="s">
        <v>875</v>
      </c>
      <c r="D95">
        <v>15</v>
      </c>
      <c r="E95">
        <v>206</v>
      </c>
      <c r="F95">
        <v>0</v>
      </c>
      <c r="G95">
        <v>16</v>
      </c>
      <c r="H95" s="11" t="s">
        <v>957</v>
      </c>
    </row>
    <row r="96" spans="2:8">
      <c r="B96">
        <v>806</v>
      </c>
      <c r="C96" s="11" t="s">
        <v>875</v>
      </c>
      <c r="D96">
        <v>-15</v>
      </c>
      <c r="E96">
        <v>206</v>
      </c>
      <c r="F96">
        <v>0</v>
      </c>
      <c r="G96">
        <v>16</v>
      </c>
      <c r="H96" s="11" t="s">
        <v>957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791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792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792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792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808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808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808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809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809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809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810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810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810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811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811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811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812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812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812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819</v>
      </c>
      <c r="D205">
        <v>-90</v>
      </c>
      <c r="E205">
        <v>3001</v>
      </c>
      <c r="F205">
        <v>1</v>
      </c>
      <c r="G205">
        <v>5.5</v>
      </c>
      <c r="H205" s="11" t="s">
        <v>822</v>
      </c>
    </row>
    <row r="206" spans="2:8">
      <c r="B206">
        <v>3002</v>
      </c>
      <c r="C206" s="11" t="s">
        <v>818</v>
      </c>
      <c r="D206">
        <v>-90</v>
      </c>
      <c r="E206">
        <v>3002</v>
      </c>
      <c r="F206">
        <v>1</v>
      </c>
      <c r="G206">
        <v>5</v>
      </c>
      <c r="H206" s="11" t="s">
        <v>822</v>
      </c>
    </row>
    <row r="207" spans="2:8">
      <c r="B207">
        <v>3101</v>
      </c>
      <c r="C207" s="11" t="s">
        <v>824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824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824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824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824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824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824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824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824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824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824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824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824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824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824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824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823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823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823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823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823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823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823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823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823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823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823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823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823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823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823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823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865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769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875</v>
      </c>
      <c r="D7" t="b">
        <v>0</v>
      </c>
      <c r="E7">
        <v>2</v>
      </c>
      <c r="F7">
        <v>50</v>
      </c>
      <c r="G7" s="11" t="s">
        <v>769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794</v>
      </c>
      <c r="D16" t="b">
        <v>1</v>
      </c>
      <c r="E16">
        <v>2</v>
      </c>
      <c r="F16">
        <v>25</v>
      </c>
      <c r="G16" s="16" t="s">
        <v>790</v>
      </c>
    </row>
    <row r="17" spans="2:7">
      <c r="B17">
        <v>2001</v>
      </c>
      <c r="C17" s="18" t="s">
        <v>793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821</v>
      </c>
      <c r="D18" t="b">
        <v>1</v>
      </c>
      <c r="E18">
        <v>2</v>
      </c>
      <c r="F18">
        <v>25</v>
      </c>
      <c r="G18" s="16" t="s">
        <v>863</v>
      </c>
    </row>
    <row r="19" spans="2:7">
      <c r="B19">
        <v>3002</v>
      </c>
      <c r="C19" s="14" t="s">
        <v>820</v>
      </c>
      <c r="D19" t="b">
        <v>1</v>
      </c>
      <c r="E19">
        <v>2</v>
      </c>
      <c r="F19">
        <v>25</v>
      </c>
      <c r="G19" s="16" t="s">
        <v>864</v>
      </c>
    </row>
    <row r="20" spans="2:7">
      <c r="B20">
        <v>3003</v>
      </c>
      <c r="C20" s="14" t="s">
        <v>860</v>
      </c>
      <c r="D20" t="b">
        <v>1</v>
      </c>
      <c r="E20">
        <v>1</v>
      </c>
      <c r="F20">
        <v>25</v>
      </c>
      <c r="G20" s="16" t="s">
        <v>861</v>
      </c>
    </row>
    <row r="21" spans="2:7">
      <c r="B21">
        <v>3004</v>
      </c>
      <c r="C21" s="14" t="s">
        <v>859</v>
      </c>
      <c r="D21" t="b">
        <v>1</v>
      </c>
      <c r="E21">
        <v>1</v>
      </c>
      <c r="F21">
        <v>25</v>
      </c>
      <c r="G21" s="16" t="s">
        <v>862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0" sqref="E20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856</v>
      </c>
      <c r="C2" s="73" t="s">
        <v>775</v>
      </c>
      <c r="D2" s="73" t="s">
        <v>834</v>
      </c>
      <c r="E2" s="73" t="s">
        <v>835</v>
      </c>
      <c r="F2" s="73" t="s">
        <v>836</v>
      </c>
      <c r="G2" s="75" t="s">
        <v>857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1015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1076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1016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1074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1077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1078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775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685</v>
      </c>
      <c r="P2" s="65" t="s">
        <v>686</v>
      </c>
      <c r="Q2" s="65" t="s">
        <v>687</v>
      </c>
      <c r="R2" s="65" t="s">
        <v>688</v>
      </c>
      <c r="S2" s="65" t="s">
        <v>689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972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967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814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813</v>
      </c>
      <c r="J16" s="16" t="s">
        <v>963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813</v>
      </c>
      <c r="J17" s="11" t="s">
        <v>964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870</v>
      </c>
      <c r="I18" s="11" t="s">
        <v>813</v>
      </c>
      <c r="J18" s="11" t="s">
        <v>852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870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977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985</v>
      </c>
      <c r="I21" s="11" t="s">
        <v>813</v>
      </c>
      <c r="J21" s="16" t="s">
        <v>963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985</v>
      </c>
      <c r="I22" s="16" t="s">
        <v>813</v>
      </c>
      <c r="J22" s="11" t="s">
        <v>964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996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959</v>
      </c>
      <c r="J33" s="11" t="s">
        <v>852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959</v>
      </c>
      <c r="J35" s="11" t="s">
        <v>852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topLeftCell="A7"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695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690</v>
      </c>
      <c r="O2" s="63" t="s">
        <v>691</v>
      </c>
      <c r="P2" s="63" t="s">
        <v>590</v>
      </c>
      <c r="Q2" s="63" t="s">
        <v>694</v>
      </c>
      <c r="R2" s="63" t="s">
        <v>697</v>
      </c>
      <c r="S2" s="69" t="s">
        <v>702</v>
      </c>
      <c r="T2" s="63" t="s">
        <v>693</v>
      </c>
      <c r="U2" s="63" t="s">
        <v>692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800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984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869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800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6" sqref="E6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696</v>
      </c>
      <c r="N2" s="68" t="s">
        <v>703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777</v>
      </c>
      <c r="E10">
        <v>1</v>
      </c>
      <c r="F10" s="14" t="s">
        <v>855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1073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1073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23" sqref="E23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1023</v>
      </c>
      <c r="D1" s="16" t="s">
        <v>311</v>
      </c>
      <c r="E1" s="16"/>
      <c r="F1" s="16"/>
    </row>
    <row r="2" spans="2:6">
      <c r="B2" s="16" t="s">
        <v>1021</v>
      </c>
      <c r="C2" s="16" t="s">
        <v>1022</v>
      </c>
      <c r="D2" s="16" t="s">
        <v>319</v>
      </c>
      <c r="E2" s="87" t="s">
        <v>1024</v>
      </c>
      <c r="F2" s="87" t="s">
        <v>1025</v>
      </c>
    </row>
    <row r="3" spans="2:6">
      <c r="B3">
        <v>1000</v>
      </c>
      <c r="C3" s="16" t="s">
        <v>1026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1027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1028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1029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1030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s="11" t="s">
        <v>1164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1031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1032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1033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1034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1035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1036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1037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1038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1039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1040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1041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1042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1043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1044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1045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1046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1047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1048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1049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1050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1051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1052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1053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1054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1055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1056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1057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1058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1059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1061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1060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1061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opLeftCell="A184" zoomScale="85" zoomScaleNormal="85" zoomScaleSheetLayoutView="100" workbookViewId="0">
      <selection activeCell="C226" sqref="C226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645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716</v>
      </c>
      <c r="D8" s="51" t="s">
        <v>715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646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712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647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648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1159</v>
      </c>
      <c r="D13" s="51" t="s">
        <v>1160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713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734</v>
      </c>
      <c r="D16" s="51" t="s">
        <v>739</v>
      </c>
      <c r="E16" s="81" t="s">
        <v>746</v>
      </c>
      <c r="F16" s="82" t="s">
        <v>496</v>
      </c>
      <c r="G16" s="82" t="s">
        <v>714</v>
      </c>
      <c r="H16" s="81" t="s">
        <v>739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735</v>
      </c>
      <c r="D17" s="51" t="s">
        <v>740</v>
      </c>
      <c r="E17" s="81" t="s">
        <v>746</v>
      </c>
      <c r="F17" s="82" t="s">
        <v>496</v>
      </c>
      <c r="G17" s="82" t="s">
        <v>714</v>
      </c>
      <c r="H17" s="81" t="s">
        <v>740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736</v>
      </c>
      <c r="D18" s="51" t="s">
        <v>741</v>
      </c>
      <c r="E18" s="81" t="s">
        <v>746</v>
      </c>
      <c r="F18" s="82" t="s">
        <v>496</v>
      </c>
      <c r="G18" s="82" t="s">
        <v>714</v>
      </c>
      <c r="H18" s="81" t="s">
        <v>741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1163</v>
      </c>
      <c r="D19" s="51" t="s">
        <v>579</v>
      </c>
      <c r="E19" s="81" t="s">
        <v>746</v>
      </c>
      <c r="F19" s="82" t="s">
        <v>496</v>
      </c>
      <c r="G19" s="82" t="s">
        <v>714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746</v>
      </c>
      <c r="F20" s="82" t="s">
        <v>496</v>
      </c>
      <c r="G20" s="82" t="s">
        <v>714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746</v>
      </c>
      <c r="F21" s="82" t="s">
        <v>496</v>
      </c>
      <c r="G21" s="82" t="s">
        <v>714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737</v>
      </c>
      <c r="D22" s="51" t="s">
        <v>742</v>
      </c>
      <c r="E22" s="81" t="s">
        <v>746</v>
      </c>
      <c r="F22" s="82" t="s">
        <v>496</v>
      </c>
      <c r="G22" s="82" t="s">
        <v>714</v>
      </c>
      <c r="H22" s="81" t="s">
        <v>747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738</v>
      </c>
      <c r="D23" s="51" t="s">
        <v>743</v>
      </c>
      <c r="E23" s="81" t="s">
        <v>746</v>
      </c>
      <c r="F23" s="82" t="s">
        <v>496</v>
      </c>
      <c r="G23" s="82" t="s">
        <v>714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710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711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744</v>
      </c>
      <c r="D27" s="51" t="s">
        <v>745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649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650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651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652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657</v>
      </c>
      <c r="D33" s="51" t="s">
        <v>658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643</v>
      </c>
      <c r="D34" s="51" t="s">
        <v>653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661</v>
      </c>
      <c r="D35" s="51" t="s">
        <v>660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662</v>
      </c>
      <c r="D36" s="51" t="s">
        <v>659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1161</v>
      </c>
      <c r="D37" s="51" t="s">
        <v>1162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655</v>
      </c>
      <c r="D38" s="51" t="s">
        <v>656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644</v>
      </c>
      <c r="D39" s="51" t="s">
        <v>654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1145</v>
      </c>
      <c r="D47" s="51" t="s">
        <v>1146</v>
      </c>
      <c r="E47" s="81" t="s">
        <v>471</v>
      </c>
      <c r="F47" s="81" t="s">
        <v>552</v>
      </c>
      <c r="G47" s="82" t="s">
        <v>1146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750</v>
      </c>
      <c r="D50" s="51" t="s">
        <v>762</v>
      </c>
      <c r="E50" s="81" t="s">
        <v>471</v>
      </c>
      <c r="F50" s="81" t="s">
        <v>503</v>
      </c>
      <c r="G50" s="81" t="s">
        <v>751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755</v>
      </c>
      <c r="D51" s="51" t="s">
        <v>761</v>
      </c>
      <c r="E51" s="81" t="s">
        <v>471</v>
      </c>
      <c r="F51" s="81" t="s">
        <v>503</v>
      </c>
      <c r="G51" s="81" t="s">
        <v>751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756</v>
      </c>
      <c r="D52" s="51" t="s">
        <v>752</v>
      </c>
      <c r="E52" s="81" t="s">
        <v>471</v>
      </c>
      <c r="F52" s="81" t="s">
        <v>503</v>
      </c>
      <c r="G52" s="81" t="s">
        <v>751</v>
      </c>
      <c r="H52" s="81" t="s">
        <v>752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757</v>
      </c>
      <c r="D53" s="51" t="s">
        <v>753</v>
      </c>
      <c r="E53" s="81" t="s">
        <v>471</v>
      </c>
      <c r="F53" s="81" t="s">
        <v>503</v>
      </c>
      <c r="G53" s="81" t="s">
        <v>751</v>
      </c>
      <c r="H53" s="81" t="s">
        <v>753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758</v>
      </c>
      <c r="D54" s="51" t="s">
        <v>760</v>
      </c>
      <c r="E54" s="81" t="s">
        <v>471</v>
      </c>
      <c r="F54" s="81" t="s">
        <v>503</v>
      </c>
      <c r="G54" s="81" t="s">
        <v>751</v>
      </c>
      <c r="H54" s="81" t="s">
        <v>754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759</v>
      </c>
      <c r="D55" s="51" t="s">
        <v>569</v>
      </c>
      <c r="E55" s="81" t="s">
        <v>471</v>
      </c>
      <c r="F55" s="81" t="s">
        <v>503</v>
      </c>
      <c r="G55" s="81" t="s">
        <v>751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774</v>
      </c>
      <c r="D64" s="51" t="s">
        <v>772</v>
      </c>
      <c r="E64" s="81" t="s">
        <v>471</v>
      </c>
      <c r="F64" s="81" t="s">
        <v>770</v>
      </c>
      <c r="G64" s="81" t="s">
        <v>772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773</v>
      </c>
      <c r="D65" s="51" t="s">
        <v>771</v>
      </c>
      <c r="E65" s="81" t="s">
        <v>471</v>
      </c>
      <c r="F65" s="81" t="s">
        <v>770</v>
      </c>
      <c r="G65" s="81" t="s">
        <v>771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763</v>
      </c>
      <c r="D66" s="51" t="s">
        <v>764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727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726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728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729</v>
      </c>
      <c r="D70" s="51" t="s">
        <v>730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731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733</v>
      </c>
      <c r="D74" s="51" t="s">
        <v>732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767</v>
      </c>
      <c r="D75" s="51" t="s">
        <v>768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765</v>
      </c>
      <c r="D76" s="51" t="s">
        <v>766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748</v>
      </c>
      <c r="D77" s="51" t="s">
        <v>749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1129</v>
      </c>
      <c r="D80" s="51" t="s">
        <v>1127</v>
      </c>
      <c r="E80" s="81" t="s">
        <v>471</v>
      </c>
      <c r="F80" s="81" t="s">
        <v>569</v>
      </c>
      <c r="G80" s="81" t="s">
        <v>1127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1130</v>
      </c>
      <c r="D81" s="51" t="s">
        <v>1128</v>
      </c>
      <c r="E81" s="81" t="s">
        <v>471</v>
      </c>
      <c r="F81" s="81" t="s">
        <v>569</v>
      </c>
      <c r="G81" s="81" t="s">
        <v>1128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1108</v>
      </c>
      <c r="D82" s="51" t="s">
        <v>1144</v>
      </c>
      <c r="E82" s="81" t="s">
        <v>471</v>
      </c>
      <c r="F82" s="81" t="s">
        <v>1088</v>
      </c>
      <c r="G82" s="81" t="s">
        <v>1089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1109</v>
      </c>
      <c r="D83" s="51" t="s">
        <v>1142</v>
      </c>
      <c r="E83" s="81" t="s">
        <v>471</v>
      </c>
      <c r="F83" s="81" t="s">
        <v>1088</v>
      </c>
      <c r="G83" s="81" t="s">
        <v>1089</v>
      </c>
      <c r="H83" s="81" t="s">
        <v>1090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1110</v>
      </c>
      <c r="D84" s="51" t="s">
        <v>1143</v>
      </c>
      <c r="E84" s="81" t="s">
        <v>471</v>
      </c>
      <c r="F84" s="81" t="s">
        <v>1088</v>
      </c>
      <c r="G84" s="81" t="s">
        <v>1089</v>
      </c>
      <c r="H84" s="81" t="s">
        <v>1091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1111</v>
      </c>
      <c r="D85" s="51" t="s">
        <v>1141</v>
      </c>
      <c r="E85" s="81" t="s">
        <v>471</v>
      </c>
      <c r="F85" s="81" t="s">
        <v>1088</v>
      </c>
      <c r="G85" s="81" t="s">
        <v>1089</v>
      </c>
      <c r="H85" s="81" t="s">
        <v>1092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1112</v>
      </c>
      <c r="D86" s="51" t="s">
        <v>1095</v>
      </c>
      <c r="E86" s="81" t="s">
        <v>471</v>
      </c>
      <c r="F86" s="81" t="s">
        <v>1088</v>
      </c>
      <c r="G86" s="81" t="s">
        <v>1095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1096</v>
      </c>
      <c r="D87" s="51" t="s">
        <v>1096</v>
      </c>
      <c r="E87" s="81" t="s">
        <v>471</v>
      </c>
      <c r="F87" s="81" t="s">
        <v>1088</v>
      </c>
      <c r="G87" s="81" t="s">
        <v>1095</v>
      </c>
      <c r="H87" s="81" t="s">
        <v>1096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1113</v>
      </c>
      <c r="D88" s="51" t="s">
        <v>1097</v>
      </c>
      <c r="E88" s="81" t="s">
        <v>471</v>
      </c>
      <c r="F88" s="81" t="s">
        <v>1088</v>
      </c>
      <c r="G88" s="81" t="s">
        <v>1095</v>
      </c>
      <c r="H88" s="81" t="s">
        <v>1097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1114</v>
      </c>
      <c r="D89" s="51" t="s">
        <v>1093</v>
      </c>
      <c r="E89" s="81" t="s">
        <v>471</v>
      </c>
      <c r="F89" s="81" t="s">
        <v>1088</v>
      </c>
      <c r="G89" s="81" t="s">
        <v>1093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1115</v>
      </c>
      <c r="D90" s="51" t="s">
        <v>1140</v>
      </c>
      <c r="E90" s="81" t="s">
        <v>471</v>
      </c>
      <c r="F90" s="81" t="s">
        <v>1088</v>
      </c>
      <c r="G90" s="81" t="s">
        <v>1093</v>
      </c>
      <c r="H90" s="81" t="s">
        <v>1094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1116</v>
      </c>
      <c r="D91" s="51" t="s">
        <v>1139</v>
      </c>
      <c r="E91" s="81" t="s">
        <v>471</v>
      </c>
      <c r="F91" s="81" t="s">
        <v>1088</v>
      </c>
      <c r="G91" s="81" t="s">
        <v>1093</v>
      </c>
      <c r="H91" s="81" t="s">
        <v>1098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1117</v>
      </c>
      <c r="D92" s="51" t="s">
        <v>1138</v>
      </c>
      <c r="E92" s="81" t="s">
        <v>471</v>
      </c>
      <c r="F92" s="81" t="s">
        <v>1088</v>
      </c>
      <c r="G92" s="81" t="s">
        <v>1093</v>
      </c>
      <c r="H92" s="81" t="s">
        <v>1099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1118</v>
      </c>
      <c r="D93" s="51" t="s">
        <v>1137</v>
      </c>
      <c r="E93" s="81" t="s">
        <v>471</v>
      </c>
      <c r="F93" s="81" t="s">
        <v>1088</v>
      </c>
      <c r="G93" s="81" t="s">
        <v>1093</v>
      </c>
      <c r="H93" s="81" t="s">
        <v>1147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1119</v>
      </c>
      <c r="D94" s="51" t="s">
        <v>1136</v>
      </c>
      <c r="E94" s="81" t="s">
        <v>471</v>
      </c>
      <c r="F94" s="81" t="s">
        <v>1088</v>
      </c>
      <c r="G94" s="81" t="s">
        <v>1093</v>
      </c>
      <c r="H94" s="81" t="s">
        <v>1100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1120</v>
      </c>
      <c r="D95" s="51" t="s">
        <v>1135</v>
      </c>
      <c r="E95" s="81" t="s">
        <v>471</v>
      </c>
      <c r="F95" s="81" t="s">
        <v>1088</v>
      </c>
      <c r="G95" s="81" t="s">
        <v>1093</v>
      </c>
      <c r="H95" s="81" t="s">
        <v>1101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1121</v>
      </c>
      <c r="D96" s="51" t="s">
        <v>1134</v>
      </c>
      <c r="E96" s="81" t="s">
        <v>471</v>
      </c>
      <c r="F96" s="81" t="s">
        <v>1088</v>
      </c>
      <c r="G96" s="81" t="s">
        <v>1093</v>
      </c>
      <c r="H96" s="81" t="s">
        <v>1102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1126</v>
      </c>
      <c r="D97" s="51" t="s">
        <v>1103</v>
      </c>
      <c r="E97" s="81" t="s">
        <v>471</v>
      </c>
      <c r="F97" s="81" t="s">
        <v>1088</v>
      </c>
      <c r="G97" s="81" t="s">
        <v>1093</v>
      </c>
      <c r="H97" s="81" t="s">
        <v>1103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1122</v>
      </c>
      <c r="D98" s="51" t="s">
        <v>1105</v>
      </c>
      <c r="E98" s="81" t="s">
        <v>471</v>
      </c>
      <c r="F98" s="81" t="s">
        <v>1088</v>
      </c>
      <c r="G98" s="81" t="s">
        <v>1105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1123</v>
      </c>
      <c r="D99" s="51" t="s">
        <v>1133</v>
      </c>
      <c r="E99" s="81" t="s">
        <v>471</v>
      </c>
      <c r="F99" s="81" t="s">
        <v>1088</v>
      </c>
      <c r="G99" s="81" t="s">
        <v>1105</v>
      </c>
      <c r="H99" s="81" t="s">
        <v>1104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1124</v>
      </c>
      <c r="D100" s="51" t="s">
        <v>1132</v>
      </c>
      <c r="E100" s="81" t="s">
        <v>471</v>
      </c>
      <c r="F100" s="81" t="s">
        <v>1088</v>
      </c>
      <c r="G100" s="81" t="s">
        <v>1106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1125</v>
      </c>
      <c r="D101" s="51" t="s">
        <v>1131</v>
      </c>
      <c r="E101" s="81" t="s">
        <v>471</v>
      </c>
      <c r="F101" s="81" t="s">
        <v>1088</v>
      </c>
      <c r="G101" s="81" t="s">
        <v>1107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901</v>
      </c>
      <c r="D102" s="51" t="s">
        <v>902</v>
      </c>
      <c r="E102" s="81" t="s">
        <v>886</v>
      </c>
      <c r="F102" s="81" t="s">
        <v>887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903</v>
      </c>
      <c r="D103" s="51" t="s">
        <v>904</v>
      </c>
      <c r="E103" s="83" t="s">
        <v>886</v>
      </c>
      <c r="F103" s="83" t="s">
        <v>887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905</v>
      </c>
      <c r="D104" s="51" t="s">
        <v>906</v>
      </c>
      <c r="E104" s="83" t="s">
        <v>886</v>
      </c>
      <c r="F104" s="83" t="s">
        <v>887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907</v>
      </c>
      <c r="D105" s="51" t="s">
        <v>1079</v>
      </c>
      <c r="E105" s="83" t="s">
        <v>886</v>
      </c>
      <c r="F105" s="83" t="s">
        <v>887</v>
      </c>
      <c r="G105" s="83" t="s">
        <v>888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908</v>
      </c>
      <c r="D106" s="51" t="s">
        <v>909</v>
      </c>
      <c r="E106" s="83" t="s">
        <v>886</v>
      </c>
      <c r="F106" s="83" t="s">
        <v>887</v>
      </c>
      <c r="G106" s="83" t="s">
        <v>888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910</v>
      </c>
      <c r="D107" s="51" t="s">
        <v>911</v>
      </c>
      <c r="E107" s="83" t="s">
        <v>886</v>
      </c>
      <c r="F107" s="83" t="s">
        <v>887</v>
      </c>
      <c r="G107" s="83" t="s">
        <v>889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912</v>
      </c>
      <c r="D108" t="s">
        <v>1080</v>
      </c>
      <c r="E108" s="83" t="s">
        <v>886</v>
      </c>
      <c r="F108" s="83" t="s">
        <v>887</v>
      </c>
      <c r="G108" s="83" t="s">
        <v>889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913</v>
      </c>
      <c r="D109" t="s">
        <v>1081</v>
      </c>
      <c r="E109" s="83" t="s">
        <v>886</v>
      </c>
      <c r="F109" s="83" t="s">
        <v>887</v>
      </c>
      <c r="G109" s="83" t="s">
        <v>889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914</v>
      </c>
      <c r="D110" t="s">
        <v>1082</v>
      </c>
      <c r="E110" s="83" t="s">
        <v>886</v>
      </c>
      <c r="F110" s="83" t="s">
        <v>887</v>
      </c>
      <c r="G110" s="83" t="s">
        <v>890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915</v>
      </c>
      <c r="D111" t="s">
        <v>1083</v>
      </c>
      <c r="E111" s="83" t="s">
        <v>886</v>
      </c>
      <c r="F111" s="83" t="s">
        <v>887</v>
      </c>
      <c r="G111" s="83" t="s">
        <v>891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916</v>
      </c>
      <c r="D112" t="s">
        <v>1084</v>
      </c>
      <c r="E112" s="83" t="s">
        <v>886</v>
      </c>
      <c r="F112" s="83" t="s">
        <v>887</v>
      </c>
      <c r="G112" s="83" t="s">
        <v>892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917</v>
      </c>
      <c r="D113" s="51" t="s">
        <v>918</v>
      </c>
      <c r="E113" s="83" t="s">
        <v>886</v>
      </c>
      <c r="F113" s="83" t="s">
        <v>887</v>
      </c>
      <c r="G113" s="83" t="s">
        <v>893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919</v>
      </c>
      <c r="D114" s="51" t="s">
        <v>920</v>
      </c>
      <c r="E114" s="83" t="s">
        <v>886</v>
      </c>
      <c r="F114" s="83" t="s">
        <v>887</v>
      </c>
      <c r="G114" s="83" t="s">
        <v>893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921</v>
      </c>
      <c r="D115" s="51" t="s">
        <v>922</v>
      </c>
      <c r="E115" s="83" t="s">
        <v>886</v>
      </c>
      <c r="F115" s="83" t="s">
        <v>887</v>
      </c>
      <c r="G115" s="83" t="s">
        <v>893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923</v>
      </c>
      <c r="D116" s="51" t="s">
        <v>924</v>
      </c>
      <c r="E116" s="83" t="s">
        <v>886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925</v>
      </c>
      <c r="D117" s="51" t="s">
        <v>926</v>
      </c>
      <c r="E117" s="83" t="s">
        <v>886</v>
      </c>
      <c r="F117" s="83" t="s">
        <v>495</v>
      </c>
      <c r="G117" s="83" t="s">
        <v>894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927</v>
      </c>
      <c r="D118" s="51" t="s">
        <v>1010</v>
      </c>
      <c r="E118" s="83" t="s">
        <v>886</v>
      </c>
      <c r="F118" s="83" t="s">
        <v>495</v>
      </c>
      <c r="G118" s="83" t="s">
        <v>894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928</v>
      </c>
      <c r="D119" s="51" t="s">
        <v>929</v>
      </c>
      <c r="E119" s="83" t="s">
        <v>886</v>
      </c>
      <c r="F119" s="83" t="s">
        <v>495</v>
      </c>
      <c r="G119" s="83" t="s">
        <v>894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930</v>
      </c>
      <c r="D120" s="51" t="s">
        <v>1011</v>
      </c>
      <c r="E120" s="83" t="s">
        <v>886</v>
      </c>
      <c r="F120" s="83" t="s">
        <v>495</v>
      </c>
      <c r="G120" s="83" t="s">
        <v>894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931</v>
      </c>
      <c r="D121" s="51" t="s">
        <v>932</v>
      </c>
      <c r="E121" s="83" t="s">
        <v>886</v>
      </c>
      <c r="F121" s="83" t="s">
        <v>495</v>
      </c>
      <c r="G121" s="83" t="s">
        <v>894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933</v>
      </c>
      <c r="D122" s="51" t="s">
        <v>934</v>
      </c>
      <c r="E122" s="83" t="s">
        <v>886</v>
      </c>
      <c r="F122" s="83" t="s">
        <v>495</v>
      </c>
      <c r="G122" s="83" t="s">
        <v>894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1012</v>
      </c>
      <c r="D123" s="51" t="s">
        <v>1013</v>
      </c>
      <c r="E123" s="83" t="s">
        <v>886</v>
      </c>
      <c r="F123" s="83" t="s">
        <v>495</v>
      </c>
      <c r="G123" s="83" t="s">
        <v>894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935</v>
      </c>
      <c r="D124" s="51" t="s">
        <v>936</v>
      </c>
      <c r="E124" s="83" t="s">
        <v>886</v>
      </c>
      <c r="F124" s="83" t="s">
        <v>495</v>
      </c>
      <c r="G124" s="83" t="s">
        <v>894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937</v>
      </c>
      <c r="D125" s="51" t="s">
        <v>938</v>
      </c>
      <c r="E125" s="83" t="s">
        <v>886</v>
      </c>
      <c r="F125" s="83" t="s">
        <v>495</v>
      </c>
      <c r="G125" s="83" t="s">
        <v>894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1070</v>
      </c>
      <c r="D126" s="51" t="s">
        <v>939</v>
      </c>
      <c r="E126" s="83" t="s">
        <v>886</v>
      </c>
      <c r="F126" s="83" t="s">
        <v>495</v>
      </c>
      <c r="G126" s="83" t="s">
        <v>894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940</v>
      </c>
      <c r="D127" s="51" t="s">
        <v>941</v>
      </c>
      <c r="E127" s="83" t="s">
        <v>886</v>
      </c>
      <c r="F127" s="83" t="s">
        <v>495</v>
      </c>
      <c r="G127" s="83" t="s">
        <v>895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942</v>
      </c>
      <c r="D128" s="51" t="s">
        <v>943</v>
      </c>
      <c r="E128" s="83" t="s">
        <v>886</v>
      </c>
      <c r="F128" s="83" t="s">
        <v>495</v>
      </c>
      <c r="G128" s="83" t="s">
        <v>895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944</v>
      </c>
      <c r="D129" t="s">
        <v>1085</v>
      </c>
      <c r="E129" s="83" t="s">
        <v>886</v>
      </c>
      <c r="F129" s="83" t="s">
        <v>495</v>
      </c>
      <c r="G129" s="83" t="s">
        <v>896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945</v>
      </c>
      <c r="D130" s="51" t="s">
        <v>946</v>
      </c>
      <c r="E130" s="83" t="s">
        <v>886</v>
      </c>
      <c r="F130" s="83" t="s">
        <v>495</v>
      </c>
      <c r="G130" s="83" t="s">
        <v>896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947</v>
      </c>
      <c r="D131" s="51" t="s">
        <v>948</v>
      </c>
      <c r="E131" s="83" t="s">
        <v>886</v>
      </c>
      <c r="F131" s="83" t="s">
        <v>495</v>
      </c>
      <c r="G131" s="83" t="s">
        <v>896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949</v>
      </c>
      <c r="D132" s="51" t="s">
        <v>950</v>
      </c>
      <c r="E132" s="83" t="s">
        <v>886</v>
      </c>
      <c r="F132" s="83" t="s">
        <v>495</v>
      </c>
      <c r="G132" s="83" t="s">
        <v>896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951</v>
      </c>
      <c r="D133" s="51" t="s">
        <v>952</v>
      </c>
      <c r="E133" s="83" t="s">
        <v>886</v>
      </c>
      <c r="F133" s="83" t="s">
        <v>495</v>
      </c>
      <c r="G133" s="83" t="s">
        <v>897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953</v>
      </c>
      <c r="D134" s="51" t="s">
        <v>954</v>
      </c>
      <c r="E134" s="83" t="s">
        <v>886</v>
      </c>
      <c r="F134" s="83" t="s">
        <v>495</v>
      </c>
      <c r="G134" s="83" t="s">
        <v>897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955</v>
      </c>
      <c r="D135" s="51" t="s">
        <v>956</v>
      </c>
      <c r="E135" s="83" t="s">
        <v>886</v>
      </c>
      <c r="F135" s="83" t="s">
        <v>495</v>
      </c>
      <c r="G135" s="83" t="s">
        <v>897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1068</v>
      </c>
      <c r="D136" s="11" t="s">
        <v>1087</v>
      </c>
      <c r="E136" s="83" t="s">
        <v>886</v>
      </c>
      <c r="F136" s="83" t="s">
        <v>898</v>
      </c>
      <c r="G136" s="83" t="s">
        <v>899</v>
      </c>
      <c r="H136" s="83" t="s">
        <v>890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1069</v>
      </c>
      <c r="D137" s="11" t="s">
        <v>1086</v>
      </c>
      <c r="E137" s="83" t="s">
        <v>886</v>
      </c>
      <c r="F137" s="83" t="s">
        <v>898</v>
      </c>
      <c r="G137" s="83" t="s">
        <v>899</v>
      </c>
      <c r="H137" s="83" t="s">
        <v>891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1071</v>
      </c>
      <c r="D138" s="51" t="s">
        <v>1072</v>
      </c>
      <c r="E138" s="83" t="s">
        <v>886</v>
      </c>
      <c r="F138" s="83" t="s">
        <v>898</v>
      </c>
      <c r="G138" s="83" t="s">
        <v>899</v>
      </c>
      <c r="H138" s="83" t="s">
        <v>900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832</v>
      </c>
      <c r="D140" s="51" t="s">
        <v>833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978</v>
      </c>
      <c r="D145" s="51" t="s">
        <v>979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838</v>
      </c>
      <c r="D147" s="51" t="s">
        <v>839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853</v>
      </c>
      <c r="D153" s="51" t="s">
        <v>854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987</v>
      </c>
      <c r="D155" s="51" t="s">
        <v>988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999</v>
      </c>
      <c r="D156" s="51" t="s">
        <v>1000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843</v>
      </c>
      <c r="D158" s="51" t="s">
        <v>840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1017</v>
      </c>
      <c r="D159" s="51" t="s">
        <v>1018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717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849</v>
      </c>
      <c r="D163" s="51" t="s">
        <v>848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718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844</v>
      </c>
      <c r="D171" s="51" t="s">
        <v>845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663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664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980</v>
      </c>
      <c r="D176" s="51" t="s">
        <v>981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665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846</v>
      </c>
      <c r="D178" s="77" t="s">
        <v>847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778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779</v>
      </c>
      <c r="D180" s="51" t="s">
        <v>666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670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780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781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867</v>
      </c>
      <c r="D184" s="51" t="s">
        <v>868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782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989</v>
      </c>
      <c r="D186" s="51" t="s">
        <v>990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997</v>
      </c>
      <c r="D187" s="51" t="s">
        <v>998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783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841</v>
      </c>
      <c r="D189" s="51" t="s">
        <v>842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1020</v>
      </c>
      <c r="D190" s="51" t="s">
        <v>1019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724</v>
      </c>
      <c r="D192" s="51" t="s">
        <v>667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784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871</v>
      </c>
      <c r="D194" s="77" t="s">
        <v>872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786</v>
      </c>
      <c r="D195" s="51" t="s">
        <v>668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785</v>
      </c>
      <c r="D197" s="77" t="s">
        <v>669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722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704</v>
      </c>
      <c r="D202" s="51" t="s">
        <v>708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705</v>
      </c>
      <c r="D203" s="51" t="s">
        <v>707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1062</v>
      </c>
      <c r="D204" s="51" t="s">
        <v>1064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1063</v>
      </c>
      <c r="D205" s="51" t="s">
        <v>1065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719</v>
      </c>
      <c r="D206" s="51" t="s">
        <v>850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982</v>
      </c>
      <c r="D207" s="51" t="s">
        <v>983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973</v>
      </c>
      <c r="D208" s="51" t="s">
        <v>974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1007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1154</v>
      </c>
      <c r="D210" s="51" t="s">
        <v>1155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873</v>
      </c>
      <c r="D211" s="51" t="s">
        <v>874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721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1066</v>
      </c>
      <c r="D213" s="51" t="s">
        <v>1067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960</v>
      </c>
      <c r="D214" s="51" t="s">
        <v>961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1005</v>
      </c>
      <c r="D215" s="51" t="s">
        <v>1006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975</v>
      </c>
      <c r="D216" s="51" t="s">
        <v>976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991</v>
      </c>
      <c r="D217" s="51" t="s">
        <v>992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1008</v>
      </c>
      <c r="D218" s="51" t="s">
        <v>1009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706</v>
      </c>
      <c r="D219" s="51" t="s">
        <v>723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970</v>
      </c>
      <c r="D222" s="51" t="s">
        <v>971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725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968</v>
      </c>
      <c r="D224" s="51" t="s">
        <v>969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1166</v>
      </c>
      <c r="D225" s="51" t="s">
        <v>1165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884</v>
      </c>
      <c r="D226" s="51" t="s">
        <v>883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880</v>
      </c>
      <c r="D227" s="51" t="s">
        <v>876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881</v>
      </c>
      <c r="D228" s="51" t="s">
        <v>877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878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885</v>
      </c>
      <c r="D230" s="51" t="s">
        <v>882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879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720</v>
      </c>
      <c r="D234" s="51" t="s">
        <v>851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815</v>
      </c>
      <c r="D235" s="51" t="s">
        <v>816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1157</v>
      </c>
      <c r="D236" s="51" t="s">
        <v>1158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965</v>
      </c>
      <c r="D237" s="51" t="s">
        <v>966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2023-12-10T04:08:42Z</dcterms:modified>
  <cp:version>1200.0100.01</cp:version>
</cp:coreProperties>
</file>