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BC93BB98-C01C-E449-A89E-C9AAC9D60A91}" xr6:coauthVersionLast="47" xr6:coauthVersionMax="47" xr10:uidLastSave="{00000000-0000-0000-0000-000000000000}"/>
  <bookViews>
    <workbookView xWindow="0" yWindow="500" windowWidth="51200" windowHeight="21100" firstSheet="9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4" l="1"/>
  <c r="B16" i="14"/>
  <c r="O20" i="13"/>
  <c r="Q20" i="13" s="1"/>
  <c r="K20" i="13"/>
  <c r="G20" i="13" a="1"/>
  <c r="G20" i="13" s="1"/>
  <c r="O32" i="13"/>
  <c r="Q32" i="13" s="1"/>
  <c r="O31" i="13"/>
  <c r="Q31" i="13" s="1"/>
  <c r="O30" i="13"/>
  <c r="Q30" i="13" s="1"/>
  <c r="Q27" i="13"/>
  <c r="Q29" i="13"/>
  <c r="Q28" i="13"/>
  <c r="Q26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1" i="13"/>
  <c r="Q21" i="13" s="1"/>
  <c r="O22" i="13"/>
  <c r="Q22" i="13" s="1"/>
  <c r="O23" i="13"/>
  <c r="Q23" i="13" s="1"/>
  <c r="O24" i="13"/>
  <c r="Q24" i="13" s="1"/>
  <c r="O25" i="13"/>
  <c r="Q25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5" i="13"/>
  <c r="G25" i="13" a="1"/>
  <c r="G25" i="13" s="1"/>
  <c r="K24" i="13"/>
  <c r="K23" i="13"/>
  <c r="G23" i="13" a="1"/>
  <c r="G23" i="13" s="1"/>
  <c r="K22" i="13"/>
  <c r="G22" i="13" a="1"/>
  <c r="G22" i="13" s="1"/>
  <c r="K21" i="13"/>
  <c r="G21" i="13" a="1"/>
  <c r="G21" i="13" s="1"/>
  <c r="B21" i="13" a="1"/>
  <c r="B21" i="13" s="1"/>
  <c r="B22" i="13" s="1" a="1"/>
  <c r="B22" i="13" s="1"/>
  <c r="I22" i="13" s="1" a="1"/>
  <c r="I22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1" i="13" l="1" a="1"/>
  <c r="I21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3" i="13" a="1"/>
  <c r="B23" i="13" s="1"/>
  <c r="I23" i="13" s="1" a="1"/>
  <c r="I23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4" i="13" a="1"/>
  <c r="B24" i="13" s="1"/>
  <c r="I24" i="13" s="1" a="1"/>
  <c r="I24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5" i="13" a="1"/>
  <c r="B25" i="13" s="1"/>
  <c r="I25" i="13" s="1" a="1"/>
  <c r="I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19" i="13" a="1"/>
  <c r="B19" i="13" s="1"/>
  <c r="I19" i="13" l="1" a="1"/>
  <c r="I19" i="13" s="1"/>
  <c r="B20" i="13" a="1"/>
  <c r="B20" i="13" s="1"/>
  <c r="I20" i="13" s="1" a="1"/>
  <c r="I20" i="13" s="1"/>
  <c r="B22" i="14" s="1"/>
  <c r="B10" i="14"/>
  <c r="C11" i="14"/>
  <c r="C13" i="14"/>
  <c r="C8" i="14"/>
  <c r="B12" i="14"/>
  <c r="C10" i="14"/>
  <c r="C14" i="14"/>
  <c r="C15" i="14"/>
  <c r="B15" i="14"/>
  <c r="B13" i="14"/>
  <c r="B14" i="14"/>
  <c r="B11" i="14"/>
  <c r="C12" i="14"/>
  <c r="B8" i="14"/>
  <c r="C24" i="14" l="1"/>
  <c r="B18" i="14"/>
  <c r="B20" i="14"/>
  <c r="C21" i="14"/>
  <c r="C25" i="14"/>
  <c r="B24" i="14"/>
  <c r="B19" i="14"/>
  <c r="B25" i="14"/>
  <c r="C20" i="14"/>
  <c r="C26" i="14"/>
  <c r="C22" i="14"/>
  <c r="B21" i="14"/>
  <c r="C18" i="14"/>
  <c r="B27" i="14"/>
  <c r="C19" i="14"/>
  <c r="C27" i="14"/>
  <c r="B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<sst xmlns="http://schemas.openxmlformats.org/spreadsheetml/2006/main" count="1116" uniqueCount="575">
  <si>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</si>
  <si>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</si>
  <si>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</si>
  <si>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</si>
  <si>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</si>
  <si>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</si>
  <si>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</si>
  <si>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</si>
  <si>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</si>
  <si>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</si>
  <si>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</si>
  <si>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</si>
  <si>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</si>
  <si>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</si>
  <si>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</si>
  <si>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</si>
  <si>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</si>
  <si>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</si>
  <si>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</si>
  <si>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</si>
  <si>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</si>
  <si>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</si>
  <si>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</si>
  <si>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</si>
  <si>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</si>
  <si>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</si>
  <si>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</si>
  <si>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</si>
  <si>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</si>
  <si>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</si>
  <si>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</si>
  <si>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</si>
  <si>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</si>
  <si>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</si>
  <si>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</si>
  <si>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</si>
  <si>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</si>
  <si>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</si>
  <si>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</si>
  <si>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</si>
  <si>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</si>
  <si>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</si>
  <si>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</si>
  <si>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</si>
  <si>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</si>
  <si>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</si>
  <si>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</si>
  <si>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</si>
  <si>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</si>
  <si>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</si>
  <si>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</si>
  <si>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</si>
  <si>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</si>
  <si>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</si>
  <si>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</si>
  <si>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</si>
  <si>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</si>
  <si>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</si>
  <si>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</si>
  <si>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</si>
  <si>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</si>
  <si>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</si>
  <si>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</si>
  <si>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</si>
  <si>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</si>
  <si>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</si>
  <si>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</si>
  <si>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</si>
  <si>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</si>
  <si>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</si>
  <si>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</si>
  <si>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</si>
  <si>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</si>
  <si>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</si>
  <si>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</si>
  <si>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</si>
  <si>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</si>
  <si>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</si>
  <si>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</si>
  <si>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</si>
  <si>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</si>
  <si>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</si>
  <si>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</si>
  <si>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</si>
  <si>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</si>
  <si>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</si>
  <si>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</si>
  <si>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</si>
  <si>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</si>
  <si>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</si>
  <si>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</si>
  <si>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</si>
  <si>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</si>
  <si>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</si>
  <si>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</si>
  <si>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</si>
  <si>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</si>
  <si>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</si>
  <si>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</si>
  <si>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</si>
  <si>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</si>
  <si>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</si>
  <si>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</si>
  <si>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</si>
  <si>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</si>
  <si>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</si>
  <si>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</si>
  <si>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</si>
  <si>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</si>
  <si>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</si>
  <si>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</si>
  <si>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</si>
  <si>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</si>
  <si>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</si>
  <si>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</si>
  <si>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</si>
  <si>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</si>
  <si>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</si>
  <si>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</si>
  <si>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</si>
  <si>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</si>
  <si>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</si>
  <si>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</si>
  <si>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</si>
  <si>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</si>
  <si>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</si>
  <si>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</si>
  <si>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</si>
  <si>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</si>
  <si>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</si>
  <si>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</si>
  <si>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</si>
  <si>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</si>
  <si>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</si>
  <si>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</si>
  <si>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</si>
  <si>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</si>
  <si>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</si>
  <si>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</si>
  <si>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</si>
  <si>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</si>
  <si>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</si>
  <si>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</si>
  <si>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</si>
  <si>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</si>
  <si>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</si>
  <si>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</si>
  <si>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</si>
  <si>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</si>
  <si>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</si>
  <si>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</si>
  <si>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</si>
  <si>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</si>
  <si>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</si>
  <si>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</si>
  <si>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</si>
  <si>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</si>
  <si>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</si>
  <si>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</si>
  <si>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</si>
  <si>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</si>
  <si>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</si>
  <si>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</si>
  <si>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</si>
  <si>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</si>
  <si>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</si>
  <si>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</si>
  <si>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</si>
  <si>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</si>
  <si>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</si>
  <si>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</si>
  <si>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</si>
  <si>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</si>
  <si>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</si>
  <si>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</si>
  <si>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</si>
  <si>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</si>
  <si>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</si>
  <si>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</si>
  <si>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</si>
  <si>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</si>
  <si>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</si>
  <si>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</si>
  <si>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</si>
  <si>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</si>
  <si>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</si>
  <si>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</si>
  <si>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</si>
  <si>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</si>
  <si>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</si>
  <si>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</si>
  <si>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</si>
  <si>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</si>
  <si>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</si>
  <si>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</si>
  <si>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</si>
  <si>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</si>
  <si>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</si>
  <si>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</si>
  <si>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</si>
  <si>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</si>
  <si>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</si>
  <si>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</si>
  <si>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</si>
  <si>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</si>
  <si>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</si>
  <si>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</si>
  <si>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</si>
  <si>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</si>
  <si>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</si>
  <si>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</si>
  <si>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</si>
  <si>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</si>
  <si>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</si>
  <si>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</si>
  <si>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</si>
  <si>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</si>
  <si>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</si>
  <si>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</si>
  <si>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</si>
  <si>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</si>
  <si>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</si>
  <si>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</si>
  <si>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</si>
  <si>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</si>
  <si>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</si>
  <si>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</si>
  <si>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</si>
  <si>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</si>
  <si>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</si>
  <si>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</si>
  <si>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</si>
  <si>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</si>
  <si>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</si>
  <si>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</si>
  <si>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</si>
  <si>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</si>
  <si>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</si>
  <si>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</si>
  <si>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</si>
  <si>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</si>
  <si>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</si>
  <si>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</si>
  <si>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</si>
  <si>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</si>
  <si>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</si>
  <si>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</si>
  <si>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</si>
  <si>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</si>
  <si>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</si>
  <si>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</si>
  <si>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</si>
  <si>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</si>
  <si>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</si>
  <si>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</si>
  <si>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</si>
  <si>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</si>
  <si>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</si>
  <si>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</si>
  <si>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</si>
  <si>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</si>
  <si>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</si>
  <si>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</si>
  <si>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</si>
  <si>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</si>
  <si>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</si>
  <si>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</si>
  <si>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</si>
  <si>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</si>
  <si>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</si>
  <si>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</si>
  <si>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</si>
  <si>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</si>
  <si>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</si>
  <si>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</si>
  <si>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</si>
  <si>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</si>
  <si>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</si>
  <si>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</si>
  <si>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</si>
  <si>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</si>
  <si>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</si>
  <si>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</si>
  <si>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</si>
  <si>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</si>
  <si>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</si>
  <si>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</si>
  <si>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</si>
  <si>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</si>
  <si>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</si>
  <si>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</si>
  <si>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</si>
  <si>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</si>
  <si>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</si>
  <si>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</si>
  <si>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</si>
  <si>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</si>
  <si>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</si>
  <si>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</si>
  <si>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</si>
  <si>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</si>
  <si>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</si>
  <si>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</si>
  <si>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</si>
  <si>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</si>
  <si>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</si>
  <si>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</si>
  <si>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</si>
  <si>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</si>
  <si>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</si>
  <si>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</si>
  <si>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</si>
  <si>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</si>
  <si>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</si>
  <si>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</si>
  <si>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</si>
  <si>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</si>
  <si>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</si>
  <si>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</si>
  <si>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</si>
  <si>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</si>
  <si>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</si>
  <si>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</si>
  <si>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</si>
  <si>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</si>
  <si>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</si>
  <si>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</si>
  <si>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</si>
  <si>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</si>
  <si>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</si>
  <si>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</si>
  <si>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</si>
  <si>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</si>
  <si>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</si>
  <si>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</si>
  <si>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</si>
  <si>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</si>
  <si>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</si>
  <si>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</si>
  <si>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</si>
  <si>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</si>
  <si>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</si>
  <si>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</si>
  <si>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</si>
  <si>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</si>
  <si>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</si>
  <si>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</si>
  <si>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</si>
  <si>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</si>
  <si>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</si>
  <si>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</si>
  <si>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</si>
  <si>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</si>
  <si>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</si>
  <si>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</si>
  <si>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</si>
  <si>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</si>
  <si>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</si>
  <si>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</si>
  <si>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</si>
  <si>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</si>
  <si>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</si>
  <si>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</si>
  <si>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</si>
  <si>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</si>
  <si>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</si>
  <si>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</si>
  <si>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</si>
  <si>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</si>
  <si>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</si>
  <si>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</si>
  <si>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</si>
  <si>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</si>
  <si>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</si>
  <si>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</si>
  <si>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</si>
  <si>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</si>
  <si>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</si>
  <si>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</si>
  <si>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</si>
  <si>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</si>
  <si>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</si>
  <si>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</si>
  <si>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</si>
  <si>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</si>
  <si>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</si>
  <si>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</si>
  <si>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</si>
  <si>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</si>
  <si>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</si>
  <si>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</si>
  <si>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</si>
  <si>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</si>
  <si>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</si>
  <si>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</si>
  <si>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</si>
  <si>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</si>
  <si>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</si>
  <si>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</si>
  <si>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</si>
  <si>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</si>
  <si>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</si>
  <si>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</si>
  <si>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</si>
  <si>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</si>
  <si>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</si>
  <si>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</si>
  <si>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</si>
  <si>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</si>
  <si>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</si>
  <si>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</si>
  <si>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</si>
  <si>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</si>
  <si>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</si>
  <si>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</si>
  <si>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</si>
  <si>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</si>
  <si>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</si>
  <si>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</si>
  <si>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</si>
  <si>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</si>
  <si>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</si>
  <si>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</si>
  <si>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</si>
  <si>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</si>
  <si>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</si>
  <si>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</si>
  <si>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</si>
  <si>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</si>
  <si>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</si>
  <si>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</si>
  <si>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</si>
  <si>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</si>
  <si>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</si>
  <si>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</si>
  <si>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</si>
  <si>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</si>
  <si>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</si>
  <si>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</si>
  <si>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</si>
  <si>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</si>
  <si>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</si>
  <si>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</si>
  <si>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</si>
  <si>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</si>
  <si>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</si>
  <si>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</si>
  <si>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</si>
  <si>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</si>
  <si>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</si>
  <si>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</si>
  <si>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</si>
  <si>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</si>
  <si>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</si>
  <si>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</si>
  <si>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</si>
  <si>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</si>
  <si>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</si>
  <si>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</si>
  <si>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</si>
  <si>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</si>
  <si>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</si>
  <si>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</si>
  <si>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</si>
  <si>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</si>
  <si>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</si>
  <si>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</si>
  <si>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</si>
  <si>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</si>
  <si>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</si>
  <si>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</si>
  <si>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</si>
  <si>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</si>
  <si>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</si>
  <si>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</si>
  <si>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</si>
  <si>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</si>
  <si>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</si>
  <si>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</si>
  <si>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</si>
  <si>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</si>
  <si>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</si>
  <si>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</si>
  <si>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</si>
  <si>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</si>
  <si>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</si>
  <si>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</si>
  <si>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</si>
  <si>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</si>
  <si>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</si>
  <si>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</si>
  <si>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</si>
  <si>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</si>
  <si>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</si>
  <si>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</si>
  <si>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</si>
  <si>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</si>
  <si>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</si>
  <si>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</si>
  <si>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</si>
  <si>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</si>
  <si>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</si>
  <si>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</si>
  <si>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</si>
  <si>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</si>
  <si>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</si>
  <si>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</si>
  <si>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</si>
  <si>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</si>
  <si>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</si>
  <si>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</si>
  <si>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</si>
  <si>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</si>
  <si>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</si>
  <si>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</si>
  <si>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</si>
  <si>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</si>
  <si>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</si>
  <si>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</si>
  <si>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</si>
  <si>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</si>
  <si>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</si>
  <si>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</si>
  <si>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</si>
  <si>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</si>
  <si>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</si>
  <si>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</si>
  <si>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</si>
  <si>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</si>
  <si>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</si>
  <si>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</si>
  <si>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</si>
  <si>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</si>
  <si>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</si>
  <si>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</si>
  <si>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</si>
  <si>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</si>
  <si>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</si>
  <si>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</si>
  <si>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</si>
  <si>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</si>
  <si>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</si>
  <si>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</si>
  <si>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</si>
  <si>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</si>
  <si>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</si>
  <si>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</si>
  <si>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</si>
  <si>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</si>
  <si>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</si>
  <si>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</si>
  <si>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</si>
  <si>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</si>
  <si>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텔레포트</t>
    <phoneticPr fontId="8" type="noConversion"/>
  </si>
  <si>
    <t>Rare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</si>
  <si>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</si>
  <si>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</si>
  <si>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</si>
  <si>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</si>
  <si>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</si>
  <si>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</si>
  <si>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소닉 더 배트매스터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</si>
  <si>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</si>
  <si>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</si>
  <si>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</si>
  <si>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기절한 적이 있을 때 액티브 버튼을 사용해 적을 날릴 수 있습니다.</t>
    <phoneticPr fontId="8" type="noConversion"/>
  </si>
  <si>
    <t>돌진!!</t>
    <phoneticPr fontId="8" type="noConversion"/>
  </si>
  <si>
    <t>여러분의 소중한 시간\n폭력으로 채워볼까요?\n\n액티브 버튼을 누르면 시간이 느려지고 이동속도와 대쉬 속도가 증가하며,\n공격 쿨타임이 감소합니다.</t>
    <phoneticPr fontId="8" type="noConversion"/>
  </si>
  <si>
    <t>아주 조금씩… 아니 모든 원기를 나에게 나눠 줘!!\n\n액티브 버튼을 누르면 주변 투사체를 가져와 발사합니다</t>
    <phoneticPr fontId="8" type="noConversion"/>
  </si>
  <si>
    <t>앞만 보고 살아가는 당신에게…\n뒤도 돌아보지 말고 돌진하자!\n\n액티브 버튼을 누르면 벽에 부딪힐 때 까지 마우스 커서 방향으로 돌진합니다</t>
    <phoneticPr fontId="8" type="noConversion"/>
  </si>
  <si>
    <t>Charge</t>
    <phoneticPr fontId="19" type="noConversion"/>
  </si>
  <si>
    <t>부산물</t>
    <phoneticPr fontId="8" type="noConversion"/>
  </si>
  <si>
    <t>배트를 휘두를 때 마다 파편이 튑니다.</t>
    <phoneticPr fontId="8" type="noConversion"/>
  </si>
  <si>
    <t>OnSwing</t>
    <phoneticPr fontId="8" type="noConversion"/>
  </si>
  <si>
    <t>Shoot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</si>
</sst>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Font="1" applyFill="1">
      <alignment vertical="center"/>
    </xf>
    <xf numFmtId="0" fontId="0" fillId="12" borderId="2" xfId="1" applyNumberFormat="1" applyFont="1">
      <alignment vertical="center"/>
    </xf>
    <xf numFmtId="0" fontId="0" fillId="12" borderId="2" xfId="1" applyFont="1">
      <alignment vertical="center"/>
    </xf>
    <xf numFmtId="0" fontId="14" fillId="12" borderId="2" xfId="1" applyFont="1">
      <alignment vertical="center"/>
    </xf>
    <xf numFmtId="0" fontId="21" fillId="12" borderId="2" xfId="1" applyNumberFormat="1" applyFont="1">
      <alignment vertical="center"/>
    </xf>
    <xf numFmtId="0" fontId="14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2">
    <cellStyle name="메모" xfId="1" builtinId="10"/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32" totalsRowShown="0" headerRowDxfId="31">
  <autoFilter ref="B2:Q32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7" totalsRowShown="0" headerRowDxfId="14">
  <autoFilter ref="B2:K27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6" totalsRowShown="0" headerRowDxfId="9">
  <autoFilter ref="B2:F36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10" totalsRowShown="0" headerRowDxfId="7">
  <autoFilter ref="B2:F10" xr:uid="{00000000-0009-0000-0100-000001000000}"/>
  <tableColumns count="5">
    <tableColumn id="4" xr3:uid="{9F0C2145-5739-D948-B51C-59C2F70F8333}" name="Index" dataDxfId="6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0" t="s">
        <v>315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50" t="s">
        <v>202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0" t="s">
        <v>293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E1" zoomScaleNormal="75" zoomScaleSheetLayoutView="100" workbookViewId="0">
      <selection activeCell="I2" sqref="I2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s="21" t="s">
        <v>563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D1" zoomScaleNormal="75" zoomScaleSheetLayoutView="100" workbookViewId="0">
      <selection activeCell="H2" sqref="H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49" t="s">
        <v>564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555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4" zoomScaleNormal="75" zoomScaleSheetLayoutView="100" workbookViewId="0">
      <selection activeCell="D72" sqref="D7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32"/>
  <sheetViews>
    <sheetView zoomScaleNormal="75" zoomScaleSheetLayoutView="100" workbookViewId="0">
      <selection activeCell="F20" sqref="F20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5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3006</v>
      </c>
      <c r="C20" s="21" t="s">
        <v>571</v>
      </c>
      <c r="D20" s="21" t="s">
        <v>572</v>
      </c>
      <c r="E20" t="s">
        <v>82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50</v>
      </c>
      <c r="I20">
        <f t="array" ref="I20">_xlfn.IFS(OR(ItemTable[[#This Row],[GradeType]]="Hp",ItemTable[[#This Row],[GradeType]]="Gold"),0,TRUE,5000+ItemTable[[#This Row],[Index]])</f>
        <v>8006</v>
      </c>
      <c r="J20" t="s">
        <v>267</v>
      </c>
      <c r="K20" s="4" t="str">
        <f>MID(ItemTable[[#This Row],[ItemIconPath]],FIND("icon",ItemTable[[#This Row],[ItemIconPath]]),999)</f>
        <v>icon/item/item_03.png</v>
      </c>
      <c r="L20" s="16" t="s">
        <v>384</v>
      </c>
      <c r="M20" s="16" t="s">
        <v>388</v>
      </c>
      <c r="N20" s="15"/>
      <c r="O20" s="15" t="str">
        <f t="shared" ref="O20" si="1">_xlfn.CONCAT(
_xlfn.CONCAT(L20,"\n\n",
"&lt;size=20&gt;&lt;color=#97C456&gt;",M20,"&lt;/color&gt;&lt;/size&gt;"),
IF(ISBLANK(N20),"",_xlfn.CONCAT("\n","&lt;size=20&gt;&lt;color=#FF6A6A&gt;",N20,"&lt;/color&gt;&lt;/size&gt;"))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P20" s="15"/>
      <c r="Q20" s="15" t="str">
        <f>IF(ItemTable[[#This Row],['#4]]=ItemTable[[#This Row],[Desc]],"T","F")</f>
        <v>F</v>
      </c>
    </row>
    <row r="21" spans="2:17">
      <c r="B21">
        <f t="array" ref="B21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1" t="s">
        <v>160</v>
      </c>
      <c r="D21" t="s">
        <v>406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9000</v>
      </c>
      <c r="J21" t="s">
        <v>276</v>
      </c>
      <c r="K21" s="4" t="str">
        <f>MID(ItemTable[[#This Row],[ItemIconPath]],FIND("icon",ItemTable[[#This Row],[ItemIconPath]]),999)</f>
        <v>icon/item/item_06.png</v>
      </c>
      <c r="L21" s="16" t="s">
        <v>391</v>
      </c>
      <c r="M21" s="15" t="s">
        <v>364</v>
      </c>
      <c r="N21" s="15" t="s">
        <v>360</v>
      </c>
      <c r="O21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1" s="15"/>
      <c r="Q21" s="15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4001</v>
      </c>
      <c r="C22" t="s">
        <v>156</v>
      </c>
      <c r="D22" s="14" t="s">
        <v>515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9001</v>
      </c>
      <c r="J22" t="s">
        <v>279</v>
      </c>
      <c r="K22" s="4" t="str">
        <f>MID(ItemTable[[#This Row],[ItemIconPath]],FIND("icon",ItemTable[[#This Row],[ItemIconPath]]),999)</f>
        <v>icon/item/item_08.png</v>
      </c>
      <c r="L22" s="16" t="s">
        <v>385</v>
      </c>
      <c r="M22" s="15" t="s">
        <v>359</v>
      </c>
      <c r="N22" s="15" t="s">
        <v>361</v>
      </c>
      <c r="O22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2" s="15"/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4002</v>
      </c>
      <c r="C23" t="s">
        <v>348</v>
      </c>
      <c r="D23" t="s">
        <v>495</v>
      </c>
      <c r="E23" t="s">
        <v>91</v>
      </c>
      <c r="F23">
        <v>1</v>
      </c>
      <c r="G23">
        <f t="array" ref="G23">_xlfn.IFS(ItemTable[[#This Row],[GradeType]]="Normal",25,ItemTable[[#This Row],[GradeType]]="Cursed",50,ItemTable[[#This Row],[GradeType]]="Rare",50)</f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9002</v>
      </c>
      <c r="J23" t="s">
        <v>277</v>
      </c>
      <c r="K23" s="4" t="str">
        <f>MID(ItemTable[[#This Row],[ItemIconPath]],FIND("icon",ItemTable[[#This Row],[ItemIconPath]]),999)</f>
        <v>icon/item/item_14.png</v>
      </c>
      <c r="L23" s="16" t="s">
        <v>390</v>
      </c>
      <c r="M23" s="16" t="s">
        <v>484</v>
      </c>
      <c r="N23" s="15" t="s">
        <v>243</v>
      </c>
      <c r="O23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3" s="16" t="s">
        <v>496</v>
      </c>
      <c r="Q23" s="15" t="str">
        <f>IF(ItemTable[[#This Row],['#4]]=ItemTable[[#This Row],[Desc]],"T","F")</f>
        <v>F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4003</v>
      </c>
      <c r="C24" t="s">
        <v>340</v>
      </c>
      <c r="D24" t="s">
        <v>407</v>
      </c>
      <c r="E24" t="s">
        <v>91</v>
      </c>
      <c r="F24">
        <v>1</v>
      </c>
      <c r="G24"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9003</v>
      </c>
      <c r="J24" t="s">
        <v>278</v>
      </c>
      <c r="K24" s="4" t="str">
        <f>MID(ItemTable[[#This Row],[ItemIconPath]],FIND("icon",ItemTable[[#This Row],[ItemIconPath]]),999)</f>
        <v>icon/item/item_01.png</v>
      </c>
      <c r="L24" s="16" t="s">
        <v>386</v>
      </c>
      <c r="M24" s="15" t="s">
        <v>355</v>
      </c>
      <c r="N24" s="15" t="s">
        <v>363</v>
      </c>
      <c r="O24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4" s="15"/>
      <c r="Q24" s="15" t="str">
        <f>IF(ItemTable[[#This Row],['#4]]=ItemTable[[#This Row],[Desc]],"T","F")</f>
        <v>T</v>
      </c>
    </row>
    <row r="25" spans="2:17">
      <c r="B25">
        <f t="array" ref="B25">_xlfn.IFS(ItemTable[[#This Row],[GradeType]]="Hp",IF(E24=ItemTable[[#This Row],[GradeType]],B24+1,10),ItemTable[[#This Row],[GradeType]]="Gold",IF(E24=ItemTable[[#This Row],[GradeType]],B24+1,20),ItemTable[[#This Row],[GradeType]]="Weapon",IF(E24=ItemTable[[#This Row],[GradeType]],B24+1,1000),ItemTable[[#This Row],[GradeType]]="Normal",IF(E24=ItemTable[[#This Row],[GradeType]],B24+1,2000),ItemTable[[#This Row],[GradeType]]="Rare",IF(E24=ItemTable[[#This Row],[GradeType]],B24+1,3000),ItemTable[[#This Row],[GradeType]]="Cursed",IF(E24=ItemTable[[#This Row],[GradeType]],B24+1,4000))</f>
        <v>4004</v>
      </c>
      <c r="C25" t="s">
        <v>55</v>
      </c>
      <c r="D25" s="14" t="s">
        <v>500</v>
      </c>
      <c r="E25" t="s">
        <v>91</v>
      </c>
      <c r="F25">
        <v>1</v>
      </c>
      <c r="G25">
        <f t="array" ref="G25">_xlfn.IFS(ItemTable[[#This Row],[GradeType]]="Normal",25,ItemTable[[#This Row],[GradeType]]="Cursed",50,ItemTable[[#This Row],[GradeType]]="Rare",50)</f>
        <v>50</v>
      </c>
      <c r="H25">
        <v>60</v>
      </c>
      <c r="I25">
        <f t="array" ref="I25">_xlfn.IFS(OR(ItemTable[[#This Row],[GradeType]]="Hp",ItemTable[[#This Row],[GradeType]]="Gold"),0,TRUE,5000+ItemTable[[#This Row],[Index]])</f>
        <v>9004</v>
      </c>
      <c r="J25" t="s">
        <v>262</v>
      </c>
      <c r="K25" s="4" t="str">
        <f>MID(ItemTable[[#This Row],[ItemIconPath]],FIND("icon",ItemTable[[#This Row],[ItemIconPath]]),999)</f>
        <v>icon/item/item_13.png</v>
      </c>
      <c r="L25" s="16" t="s">
        <v>408</v>
      </c>
      <c r="M25" s="16" t="s">
        <v>389</v>
      </c>
      <c r="N25" s="15" t="s">
        <v>366</v>
      </c>
      <c r="O25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5" s="15"/>
      <c r="Q25" s="15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48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553</v>
      </c>
      <c r="D29" s="21" t="s">
        <v>565</v>
      </c>
      <c r="E29" s="21" t="s">
        <v>554</v>
      </c>
      <c r="F29">
        <v>1</v>
      </c>
      <c r="G29">
        <v>50</v>
      </c>
      <c r="H29">
        <v>100</v>
      </c>
      <c r="I29">
        <v>10000</v>
      </c>
      <c r="J29" t="s">
        <v>262</v>
      </c>
      <c r="Q29" t="str">
        <f>IF(ItemTable[[#This Row],['#4]]=ItemTable[[#This Row],[Desc]],"T","F")</f>
        <v>F</v>
      </c>
    </row>
    <row r="30" spans="2:17">
      <c r="B30" s="41">
        <v>10001</v>
      </c>
      <c r="C30" s="44" t="s">
        <v>562</v>
      </c>
      <c r="D30" s="44" t="s">
        <v>568</v>
      </c>
      <c r="E30" s="21" t="s">
        <v>554</v>
      </c>
      <c r="F30">
        <v>1</v>
      </c>
      <c r="G30">
        <v>50</v>
      </c>
      <c r="H30">
        <v>100</v>
      </c>
      <c r="I30">
        <v>10001</v>
      </c>
      <c r="J30" t="s">
        <v>277</v>
      </c>
      <c r="K30" s="15"/>
      <c r="L30" s="15"/>
      <c r="M30" s="15"/>
      <c r="N30" s="15"/>
      <c r="O30" s="15" t="str">
        <f>_xlfn.CONCAT(
_xlfn.CONCAT("&lt;size=16&gt;",L30,"&lt;/size&gt;\n\n",
"&lt;size=20&gt;&lt;color=#97C456&gt;",M30,"&lt;/color&gt;&lt;/size&gt;"),
IF(ISBLANK(N30),"",_xlfn.CONCAT("\n","&lt;size=24&gt;&lt;color=#FF6A6A&gt;",N30,"&lt;/color&gt;&lt;/size&gt;"))
)</f>
        <v>&lt;size=16&gt;&lt;/size&gt;\n\n&lt;size=20&gt;&lt;color=#97C456&gt;&lt;/color&gt;&lt;/size&gt;</v>
      </c>
      <c r="P30" s="43"/>
      <c r="Q30" s="15" t="str">
        <f>IF(ItemTable[[#This Row],['#4]]=ItemTable[[#This Row],[Desc]],"T","F")</f>
        <v>F</v>
      </c>
    </row>
    <row r="31" spans="2:17">
      <c r="B31" s="41">
        <v>10002</v>
      </c>
      <c r="C31" s="44" t="s">
        <v>561</v>
      </c>
      <c r="D31" s="44" t="s">
        <v>567</v>
      </c>
      <c r="E31" s="21" t="s">
        <v>554</v>
      </c>
      <c r="F31">
        <v>1</v>
      </c>
      <c r="G31">
        <v>50</v>
      </c>
      <c r="H31">
        <v>100</v>
      </c>
      <c r="I31">
        <v>10002</v>
      </c>
      <c r="J31" t="s">
        <v>277</v>
      </c>
      <c r="K31" s="15"/>
      <c r="L31" s="15"/>
      <c r="M31" s="15"/>
      <c r="N31" s="15"/>
      <c r="O31" s="15" t="str">
        <f>_xlfn.CONCAT(
_xlfn.CONCAT("&lt;size=16&gt;",L31,"&lt;/size&gt;\n\n",
"&lt;size=20&gt;&lt;color=#97C456&gt;",M31,"&lt;/color&gt;&lt;/size&gt;"),
IF(ISBLANK(N31),"",_xlfn.CONCAT("\n","&lt;size=24&gt;&lt;color=#FF6A6A&gt;",N31,"&lt;/color&gt;&lt;/size&gt;"))
)</f>
        <v>&lt;size=16&gt;&lt;/size&gt;\n\n&lt;size=20&gt;&lt;color=#97C456&gt;&lt;/color&gt;&lt;/size&gt;</v>
      </c>
      <c r="P31" s="43"/>
      <c r="Q31" s="15" t="str">
        <f>IF(ItemTable[[#This Row],['#4]]=ItemTable[[#This Row],[Desc]],"T","F")</f>
        <v>F</v>
      </c>
    </row>
    <row r="32" spans="2:17">
      <c r="B32" s="41">
        <v>10003</v>
      </c>
      <c r="C32" s="44" t="s">
        <v>566</v>
      </c>
      <c r="D32" s="44" t="s">
        <v>569</v>
      </c>
      <c r="E32" s="21" t="s">
        <v>554</v>
      </c>
      <c r="F32">
        <v>1</v>
      </c>
      <c r="G32">
        <v>50</v>
      </c>
      <c r="H32">
        <v>100</v>
      </c>
      <c r="I32">
        <v>10003</v>
      </c>
      <c r="J32" t="s">
        <v>256</v>
      </c>
      <c r="K32" s="15"/>
      <c r="L32" s="15"/>
      <c r="M32" s="15"/>
      <c r="N32" s="15"/>
      <c r="O32" s="15" t="str">
        <f>_xlfn.CONCAT(
_xlfn.CONCAT("&lt;size=16&gt;",L32,"&lt;/size&gt;\n\n",
"&lt;size=20&gt;&lt;color=#97C456&gt;",M32,"&lt;/color&gt;&lt;/size&gt;"),
IF(ISBLANK(N32),"",_xlfn.CONCAT("\n","&lt;size=24&gt;&lt;color=#FF6A6A&gt;",N32,"&lt;/color&gt;&lt;/size&gt;"))
)</f>
        <v>&lt;size=16&gt;&lt;/size&gt;\n\n&lt;size=20&gt;&lt;color=#97C456&gt;&lt;/color&gt;&lt;/size&gt;</v>
      </c>
      <c r="P32" s="43"/>
      <c r="Q32" s="15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7"/>
  <sheetViews>
    <sheetView zoomScale="129" zoomScaleNormal="129" zoomScaleSheetLayoutView="100" workbookViewId="0">
      <selection activeCell="D16" sqref="D16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545</v>
      </c>
      <c r="F2" s="21" t="s">
        <v>546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46" customFormat="1">
      <c r="D9" s="47"/>
      <c r="J9" s="47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552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551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550</v>
      </c>
      <c r="J15" s="21" t="s">
        <v>536</v>
      </c>
    </row>
    <row r="16" spans="2:11">
      <c r="B16" s="4" t="str">
        <f>INDEX(ItemTable[Name],MATCH(ItemEffectTable[[#This Row],[Index]],ItemTable[ItemEffectDataId],0))</f>
        <v>부산물</v>
      </c>
      <c r="C16" s="4" t="str">
        <f>INDEX(ItemTable[GradeType],MATCH(ItemEffectTable[[#This Row],[Index]],ItemTable[ItemEffectDataId],0))</f>
        <v>Rare</v>
      </c>
      <c r="D16" s="21">
        <v>8006</v>
      </c>
      <c r="E16" s="21"/>
      <c r="F16" s="21">
        <v>8006</v>
      </c>
      <c r="G16">
        <v>0</v>
      </c>
      <c r="H16" s="21" t="s">
        <v>573</v>
      </c>
      <c r="J16" s="21" t="s">
        <v>536</v>
      </c>
    </row>
    <row r="17" spans="2:11" s="46" customFormat="1">
      <c r="D17" s="47"/>
      <c r="J17" s="47"/>
    </row>
    <row r="18" spans="2:11">
      <c r="B18" s="4" t="str">
        <f>INDEX(ItemTable[Name],MATCH(ItemEffectTable[[#This Row],[Index]],ItemTable[ItemEffectDataId],0))</f>
        <v>코코아 한통</v>
      </c>
      <c r="C18" s="4" t="str">
        <f>INDEX(ItemTable[GradeType],MATCH(ItemEffectTable[[#This Row],[Index]],ItemTable[ItemEffectDataId],0))</f>
        <v>Cursed</v>
      </c>
      <c r="D18" s="21">
        <v>9000</v>
      </c>
      <c r="E18" s="21">
        <v>9000</v>
      </c>
      <c r="F18" s="21"/>
      <c r="G18">
        <v>0</v>
      </c>
      <c r="H18" s="21" t="s">
        <v>537</v>
      </c>
      <c r="J18" s="21" t="s">
        <v>536</v>
      </c>
    </row>
    <row r="19" spans="2:11">
      <c r="B19" s="4" t="str">
        <f>INDEX(ItemTable[Name],MATCH(ItemEffectTable[[#This Row],[Index]],ItemTable[ItemEffectDataId],0))</f>
        <v>슬픈 캔리오</v>
      </c>
      <c r="C19" s="4" t="str">
        <f>INDEX(ItemTable[GradeType],MATCH(ItemEffectTable[[#This Row],[Index]],ItemTable[ItemEffectDataId],0))</f>
        <v>Cursed</v>
      </c>
      <c r="D19" s="21">
        <v>9001</v>
      </c>
      <c r="E19" s="21">
        <v>9001</v>
      </c>
      <c r="F19" s="21"/>
      <c r="G19">
        <v>0</v>
      </c>
      <c r="H19" s="21" t="s">
        <v>537</v>
      </c>
      <c r="J19" s="21" t="s">
        <v>536</v>
      </c>
    </row>
    <row r="20" spans="2:11">
      <c r="B20" s="4" t="str">
        <f>INDEX(ItemTable[Name],MATCH(ItemEffectTable[[#This Row],[Index]],ItemTable[ItemEffectDataId],0))</f>
        <v>청개굴 버섯구이</v>
      </c>
      <c r="C20" s="4" t="str">
        <f>INDEX(ItemTable[GradeType],MATCH(ItemEffectTable[[#This Row],[Index]],ItemTable[ItemEffectDataId],0))</f>
        <v>Cursed</v>
      </c>
      <c r="D20" s="21">
        <v>9002</v>
      </c>
      <c r="E20" s="21">
        <v>9002</v>
      </c>
      <c r="F20" s="21">
        <v>9002</v>
      </c>
      <c r="G20">
        <v>0</v>
      </c>
      <c r="H20" s="21" t="s">
        <v>537</v>
      </c>
      <c r="J20" s="21" t="s">
        <v>536</v>
      </c>
    </row>
    <row r="21" spans="2:11">
      <c r="B21" s="4" t="str">
        <f>INDEX(ItemTable[Name],MATCH(ItemEffectTable[[#This Row],[Index]],ItemTable[ItemEffectDataId],0))</f>
        <v>누군가의 일기장</v>
      </c>
      <c r="C21" s="4" t="str">
        <f>INDEX(ItemTable[GradeType],MATCH(ItemEffectTable[[#This Row],[Index]],ItemTable[ItemEffectDataId],0))</f>
        <v>Cursed</v>
      </c>
      <c r="D21" s="21">
        <v>9003</v>
      </c>
      <c r="E21" s="21">
        <v>9003</v>
      </c>
      <c r="F21" s="21"/>
      <c r="G21">
        <v>0</v>
      </c>
      <c r="H21" s="21" t="s">
        <v>537</v>
      </c>
      <c r="J21" s="21" t="s">
        <v>536</v>
      </c>
    </row>
    <row r="22" spans="2:11">
      <c r="B22" s="4" t="str">
        <f>INDEX(ItemTable[Name],MATCH(ItemEffectTable[[#This Row],[Index]],ItemTable[ItemEffectDataId],0))</f>
        <v>태양</v>
      </c>
      <c r="C22" s="4" t="str">
        <f>INDEX(ItemTable[GradeType],MATCH(ItemEffectTable[[#This Row],[Index]],ItemTable[ItemEffectDataId],0))</f>
        <v>Cursed</v>
      </c>
      <c r="D22" s="21">
        <v>9004</v>
      </c>
      <c r="E22" s="21">
        <v>9004</v>
      </c>
      <c r="F22" s="21"/>
      <c r="G22">
        <v>0</v>
      </c>
      <c r="H22" s="21" t="s">
        <v>537</v>
      </c>
      <c r="J22" s="21" t="s">
        <v>536</v>
      </c>
    </row>
    <row r="23" spans="2:11" s="46" customFormat="1">
      <c r="J23" s="47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549</v>
      </c>
      <c r="J24" s="21" t="s">
        <v>536</v>
      </c>
    </row>
    <row r="25" spans="2:11">
      <c r="B25" s="4" t="str">
        <f>INDEX(ItemTable[Name],MATCH(ItemEffectTable[[#This Row],[Index]],ItemTable[ItemEffectDataId],0))</f>
        <v>원기옥</v>
      </c>
      <c r="C25" s="41" t="str">
        <f>INDEX(ItemTable[GradeType],MATCH(ItemEffectTable[[#This Row],[Index]],ItemTable[ItemEffectDataId],0))</f>
        <v>Rare</v>
      </c>
      <c r="D25" s="41">
        <v>10001</v>
      </c>
      <c r="F25">
        <v>10001</v>
      </c>
      <c r="G25">
        <v>3.5</v>
      </c>
      <c r="H25" s="21" t="s">
        <v>549</v>
      </c>
      <c r="I25" s="21" t="s">
        <v>560</v>
      </c>
      <c r="J25" s="21" t="s">
        <v>559</v>
      </c>
      <c r="K25">
        <v>3</v>
      </c>
    </row>
    <row r="26" spans="2:11">
      <c r="B26" s="4" t="str">
        <f>INDEX(ItemTable[Name],MATCH(ItemEffectTable[[#This Row],[Index]],ItemTable[ItemEffectDataId],0))</f>
        <v>소닉 더 배트매스터</v>
      </c>
      <c r="C26" s="41" t="str">
        <f>INDEX(ItemTable[GradeType],MATCH(ItemEffectTable[[#This Row],[Index]],ItemTable[ItemEffectDataId],0))</f>
        <v>Rare</v>
      </c>
      <c r="D26" s="41">
        <v>10002</v>
      </c>
      <c r="E26">
        <v>10002</v>
      </c>
      <c r="F26">
        <v>10002</v>
      </c>
      <c r="G26">
        <v>8</v>
      </c>
      <c r="H26" s="21" t="s">
        <v>549</v>
      </c>
      <c r="J26" s="21" t="s">
        <v>536</v>
      </c>
    </row>
    <row r="27" spans="2:11">
      <c r="B27" s="4" t="str">
        <f>INDEX(ItemTable[Name],MATCH(ItemEffectTable[[#This Row],[Index]],ItemTable[ItemEffectDataId],0))</f>
        <v>돌진!!</v>
      </c>
      <c r="C27" s="41" t="str">
        <f>INDEX(ItemTable[GradeType],MATCH(ItemEffectTable[[#This Row],[Index]],ItemTable[ItemEffectDataId],0))</f>
        <v>Rare</v>
      </c>
      <c r="D27" s="41">
        <v>10003</v>
      </c>
      <c r="F27">
        <v>10003</v>
      </c>
      <c r="G27">
        <v>1</v>
      </c>
      <c r="H27" s="21" t="s">
        <v>549</v>
      </c>
      <c r="J27" s="21" t="s">
        <v>536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6"/>
  <sheetViews>
    <sheetView topLeftCell="A11" zoomScale="129" zoomScaleNormal="129" zoomScaleSheetLayoutView="100" workbookViewId="0">
      <selection activeCell="D36" sqref="D3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556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  <row r="32" spans="2:6">
      <c r="B32" s="41">
        <v>10002</v>
      </c>
      <c r="C32" t="s">
        <v>2</v>
      </c>
      <c r="D32">
        <v>1.2</v>
      </c>
      <c r="E32" t="s">
        <v>349</v>
      </c>
      <c r="F32">
        <v>5</v>
      </c>
    </row>
    <row r="33" spans="2:6">
      <c r="B33" s="41">
        <v>10002</v>
      </c>
      <c r="C33" t="s">
        <v>28</v>
      </c>
      <c r="D33">
        <v>0.4</v>
      </c>
      <c r="E33" t="s">
        <v>349</v>
      </c>
      <c r="F33">
        <v>5</v>
      </c>
    </row>
    <row r="34" spans="2:6">
      <c r="B34" s="41">
        <v>10002</v>
      </c>
      <c r="C34" t="s">
        <v>229</v>
      </c>
      <c r="D34">
        <v>3</v>
      </c>
      <c r="E34" t="s">
        <v>349</v>
      </c>
      <c r="F34">
        <v>5</v>
      </c>
    </row>
    <row r="35" spans="2:6">
      <c r="B35" s="41">
        <v>10002</v>
      </c>
      <c r="C35" t="s">
        <v>198</v>
      </c>
      <c r="D35">
        <v>0.5</v>
      </c>
      <c r="E35" t="s">
        <v>349</v>
      </c>
      <c r="F35">
        <v>5</v>
      </c>
    </row>
    <row r="36" spans="2:6">
      <c r="B36" s="41">
        <v>10002</v>
      </c>
      <c r="C36" t="s">
        <v>219</v>
      </c>
      <c r="D36">
        <v>0.5</v>
      </c>
      <c r="E36" t="s">
        <v>349</v>
      </c>
      <c r="F36">
        <v>5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tabSelected="1" zoomScale="129" zoomScaleNormal="129" zoomScaleSheetLayoutView="100" workbookViewId="0">
      <selection activeCell="J14" sqref="J14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557</v>
      </c>
      <c r="D2" s="21" t="s">
        <v>522</v>
      </c>
      <c r="E2" s="39" t="s">
        <v>523</v>
      </c>
      <c r="F2" s="39" t="s">
        <v>524</v>
      </c>
    </row>
    <row r="3" spans="2:6">
      <c r="B3" s="21">
        <v>8006</v>
      </c>
      <c r="C3" s="21" t="s">
        <v>574</v>
      </c>
      <c r="D3">
        <v>726</v>
      </c>
      <c r="E3">
        <v>1</v>
      </c>
    </row>
    <row r="4" spans="2:6">
      <c r="B4" s="21">
        <v>9002</v>
      </c>
      <c r="C4" s="21" t="s">
        <v>547</v>
      </c>
      <c r="D4" s="11"/>
    </row>
    <row r="5" spans="2:6">
      <c r="B5" s="21"/>
      <c r="C5" s="21"/>
      <c r="D5" s="11"/>
    </row>
    <row r="6" spans="2:6" s="46" customFormat="1">
      <c r="B6" s="47"/>
      <c r="C6" s="47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558</v>
      </c>
      <c r="D8">
        <v>3</v>
      </c>
      <c r="E8">
        <v>23</v>
      </c>
      <c r="F8">
        <v>3</v>
      </c>
    </row>
    <row r="9" spans="2:6">
      <c r="B9">
        <v>10002</v>
      </c>
      <c r="C9" s="21" t="s">
        <v>548</v>
      </c>
      <c r="D9">
        <v>0.5</v>
      </c>
      <c r="E9">
        <v>5</v>
      </c>
    </row>
    <row r="10" spans="2:6">
      <c r="B10">
        <v>10003</v>
      </c>
      <c r="C10" s="21" t="s">
        <v>570</v>
      </c>
      <c r="D10">
        <v>10</v>
      </c>
      <c r="E10">
        <v>90</v>
      </c>
      <c r="F10">
        <v>1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2023-08-17T08:00:25Z</dcterms:modified>
  <cp:version>1200.0100.01</cp:version>
</cp:coreProperties>
</file>